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n-my.sharepoint.com/personal/u2022432_giki_edu_pk/Documents/"/>
    </mc:Choice>
  </mc:AlternateContent>
  <xr:revisionPtr revIDLastSave="261" documentId="8_{4454B35E-02D7-7140-9688-0E36E42C433D}" xr6:coauthVersionLast="47" xr6:coauthVersionMax="47" xr10:uidLastSave="{DBD96C38-5248-E946-B845-1303235D52DB}"/>
  <bookViews>
    <workbookView xWindow="17080" yWindow="780" windowWidth="17120" windowHeight="19920" firstSheet="10" activeTab="15" xr2:uid="{33CD6205-86CB-3B41-A1B3-FB1AB3F782FF}"/>
  </bookViews>
  <sheets>
    <sheet name="Vehicles" sheetId="1" r:id="rId1"/>
    <sheet name="Drivers" sheetId="2" r:id="rId2"/>
    <sheet name="Employees" sheetId="3" r:id="rId3"/>
    <sheet name="Clients" sheetId="4" r:id="rId4"/>
    <sheet name="Departments" sheetId="5" r:id="rId5"/>
    <sheet name="Tile Type" sheetId="6" r:id="rId6"/>
    <sheet name="Operations" sheetId="7" r:id="rId7"/>
    <sheet name="Attendance" sheetId="8" r:id="rId8"/>
    <sheet name="Salaries" sheetId="9" r:id="rId9"/>
    <sheet name="Financial Dashboard" sheetId="10" r:id="rId10"/>
    <sheet name="Invoice" sheetId="11" r:id="rId11"/>
    <sheet name="Operational Expenses" sheetId="12" r:id="rId12"/>
    <sheet name="Fuel Logs" sheetId="13" r:id="rId13"/>
    <sheet name="Maintenance" sheetId="14" r:id="rId14"/>
    <sheet name="Vehicle Trip" sheetId="15" r:id="rId15"/>
    <sheet name="Inquiries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12" i="7" l="1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243" i="7" l="1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34" i="7"/>
  <c r="E35" i="7"/>
  <c r="E36" i="7"/>
  <c r="E37" i="7"/>
  <c r="E38" i="7"/>
  <c r="E32" i="7"/>
  <c r="E33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10" i="7"/>
  <c r="E11" i="7"/>
  <c r="E12" i="7"/>
  <c r="E13" i="7"/>
  <c r="E14" i="7"/>
  <c r="E15" i="7"/>
  <c r="E16" i="7"/>
  <c r="E17" i="7"/>
  <c r="E2" i="7"/>
  <c r="E3" i="7"/>
  <c r="E4" i="7"/>
  <c r="E5" i="7"/>
  <c r="E6" i="7"/>
  <c r="E7" i="7"/>
  <c r="E8" i="7"/>
  <c r="E9" i="7"/>
  <c r="D3" i="10"/>
  <c r="D2" i="10"/>
</calcChain>
</file>

<file path=xl/sharedStrings.xml><?xml version="1.0" encoding="utf-8"?>
<sst xmlns="http://schemas.openxmlformats.org/spreadsheetml/2006/main" count="1068" uniqueCount="404">
  <si>
    <t>Department</t>
  </si>
  <si>
    <t>Operational Role</t>
  </si>
  <si>
    <t>OPERATIONAL LOGIC</t>
  </si>
  <si>
    <t>NODE IDENTIFIER</t>
  </si>
  <si>
    <t>LIVE NET YIELD</t>
  </si>
  <si>
    <t>LOG ID</t>
  </si>
  <si>
    <t>IDENTITY</t>
  </si>
  <si>
    <t>SHIFT DATE</t>
  </si>
  <si>
    <t>ID CODE</t>
  </si>
  <si>
    <t>BENEFICIARY</t>
  </si>
  <si>
    <t>VALUE(PKR)</t>
  </si>
  <si>
    <t>ENTRY ID</t>
  </si>
  <si>
    <t>EVENT LOGIC (CAT)</t>
  </si>
  <si>
    <t>TIMESTAMP</t>
  </si>
  <si>
    <t>Vehicle ID</t>
  </si>
  <si>
    <t>AKB-4437</t>
  </si>
  <si>
    <t>TAH-477</t>
  </si>
  <si>
    <t>C-1562</t>
  </si>
  <si>
    <t>LZB-8390</t>
  </si>
  <si>
    <t>E-2350</t>
  </si>
  <si>
    <t>EA-1177</t>
  </si>
  <si>
    <t>LES-7548</t>
  </si>
  <si>
    <t>LEI-1189</t>
  </si>
  <si>
    <t>Z-5541</t>
  </si>
  <si>
    <t>CAM-8030</t>
  </si>
  <si>
    <t>LET-1549</t>
  </si>
  <si>
    <t>TBY-512</t>
  </si>
  <si>
    <t>Z-8011</t>
  </si>
  <si>
    <t>J-8489</t>
  </si>
  <si>
    <t>C-8746</t>
  </si>
  <si>
    <t>P-2338</t>
  </si>
  <si>
    <t>EA-1664</t>
  </si>
  <si>
    <t>Z-4875</t>
  </si>
  <si>
    <t>TKJ-435</t>
  </si>
  <si>
    <t>Vehicle Number</t>
  </si>
  <si>
    <t>VI-01</t>
  </si>
  <si>
    <t>VI-02</t>
  </si>
  <si>
    <t>VI-03</t>
  </si>
  <si>
    <t>VI-04</t>
  </si>
  <si>
    <t>VI-05</t>
  </si>
  <si>
    <t>VI-06</t>
  </si>
  <si>
    <t>VI-07</t>
  </si>
  <si>
    <t>VI-08</t>
  </si>
  <si>
    <t>VI-09</t>
  </si>
  <si>
    <t>VI-10</t>
  </si>
  <si>
    <t>VI-11</t>
  </si>
  <si>
    <t>VI-12</t>
  </si>
  <si>
    <t>VI-13</t>
  </si>
  <si>
    <t>VI-14</t>
  </si>
  <si>
    <t>VI-15</t>
  </si>
  <si>
    <t>VI-16</t>
  </si>
  <si>
    <t>VI-17</t>
  </si>
  <si>
    <t>VI-18</t>
  </si>
  <si>
    <t>VI-19</t>
  </si>
  <si>
    <t>VI-20</t>
  </si>
  <si>
    <t>VI-21</t>
  </si>
  <si>
    <t>VI-22</t>
  </si>
  <si>
    <t>VI-23</t>
  </si>
  <si>
    <t>VI-24</t>
  </si>
  <si>
    <t>VI-25</t>
  </si>
  <si>
    <t>VI-26</t>
  </si>
  <si>
    <t>VI-27</t>
  </si>
  <si>
    <t>VI-28</t>
  </si>
  <si>
    <t>VI-29</t>
  </si>
  <si>
    <t>VI-30</t>
  </si>
  <si>
    <t>VI-31</t>
  </si>
  <si>
    <t>VI-32</t>
  </si>
  <si>
    <t>Z-1740</t>
  </si>
  <si>
    <t>CAA-665</t>
  </si>
  <si>
    <t>LES-3327</t>
  </si>
  <si>
    <t>LPT-5912</t>
  </si>
  <si>
    <t>LXS-9027</t>
  </si>
  <si>
    <t>VI-33</t>
  </si>
  <si>
    <t>VI-34</t>
  </si>
  <si>
    <t>VI-35</t>
  </si>
  <si>
    <t>VI-36</t>
  </si>
  <si>
    <t>VI-37</t>
  </si>
  <si>
    <t>GZRB-118</t>
  </si>
  <si>
    <t>EA-6283</t>
  </si>
  <si>
    <t>LES-1324</t>
  </si>
  <si>
    <t>EA-7387</t>
  </si>
  <si>
    <t>LRT-7137</t>
  </si>
  <si>
    <t>IDT-3667</t>
  </si>
  <si>
    <t>TKR-824</t>
  </si>
  <si>
    <t>HNR-1397</t>
  </si>
  <si>
    <t>TKF-107</t>
  </si>
  <si>
    <t>TAJ-995</t>
  </si>
  <si>
    <t>CAB-434</t>
  </si>
  <si>
    <t>TKM-390</t>
  </si>
  <si>
    <t>SEB-972</t>
  </si>
  <si>
    <t>AP-0211</t>
  </si>
  <si>
    <t>LZR-6847</t>
  </si>
  <si>
    <t>TAL-069</t>
  </si>
  <si>
    <t>C-8201</t>
  </si>
  <si>
    <t>SGE-7285</t>
  </si>
  <si>
    <t>C-1511</t>
  </si>
  <si>
    <t>GLTB-2592</t>
  </si>
  <si>
    <t>Z-6730</t>
  </si>
  <si>
    <t>GLTA-432</t>
  </si>
  <si>
    <t>LZR-6046</t>
  </si>
  <si>
    <t>CBA-9855</t>
  </si>
  <si>
    <t>LET-8891</t>
  </si>
  <si>
    <t>TKQ-326</t>
  </si>
  <si>
    <t>C-8732</t>
  </si>
  <si>
    <t>CAB-9855</t>
  </si>
  <si>
    <t>TMP-439</t>
  </si>
  <si>
    <t>LRC-4804</t>
  </si>
  <si>
    <t>CAZ-8380</t>
  </si>
  <si>
    <t>C-2150</t>
  </si>
  <si>
    <t>TAF-079</t>
  </si>
  <si>
    <t>C-2531</t>
  </si>
  <si>
    <t>LES-8937</t>
  </si>
  <si>
    <t>C-2824</t>
  </si>
  <si>
    <t>TAB-261</t>
  </si>
  <si>
    <t>TAB-129</t>
  </si>
  <si>
    <t>Z-5387</t>
  </si>
  <si>
    <t>XA-270</t>
  </si>
  <si>
    <t>Z-5486</t>
  </si>
  <si>
    <t>Z-8195</t>
  </si>
  <si>
    <t>GLT-743</t>
  </si>
  <si>
    <t>LOK-1250</t>
  </si>
  <si>
    <t>TAJ-641</t>
  </si>
  <si>
    <t>TAD-472</t>
  </si>
  <si>
    <t>C-1210</t>
  </si>
  <si>
    <t>LES-8495</t>
  </si>
  <si>
    <t>FDH-3762</t>
  </si>
  <si>
    <t>C-2398</t>
  </si>
  <si>
    <t>RII-235</t>
  </si>
  <si>
    <t>TLG-569</t>
  </si>
  <si>
    <t>SGD-6494</t>
  </si>
  <si>
    <t>TAK-526</t>
  </si>
  <si>
    <t>E-9259</t>
  </si>
  <si>
    <t>E-5078</t>
  </si>
  <si>
    <t>CAJ-2022</t>
  </si>
  <si>
    <t>GLT-1572</t>
  </si>
  <si>
    <t>VI-38</t>
  </si>
  <si>
    <t>VI-39</t>
  </si>
  <si>
    <t>VI-40</t>
  </si>
  <si>
    <t>VI-41</t>
  </si>
  <si>
    <t>VI-42</t>
  </si>
  <si>
    <t>VI-43</t>
  </si>
  <si>
    <t>VI-44</t>
  </si>
  <si>
    <t>VI-45</t>
  </si>
  <si>
    <t>VI-46</t>
  </si>
  <si>
    <t>VI-47</t>
  </si>
  <si>
    <t>VI-48</t>
  </si>
  <si>
    <t>VI-49</t>
  </si>
  <si>
    <t>VI-50</t>
  </si>
  <si>
    <t>VI-51</t>
  </si>
  <si>
    <t>VI-52</t>
  </si>
  <si>
    <t>VI-53</t>
  </si>
  <si>
    <t>VI-54</t>
  </si>
  <si>
    <t>VI-55</t>
  </si>
  <si>
    <t>VI-56</t>
  </si>
  <si>
    <t>VI-57</t>
  </si>
  <si>
    <t>VI-58</t>
  </si>
  <si>
    <t>VI-59</t>
  </si>
  <si>
    <t>VI-60</t>
  </si>
  <si>
    <t>VI-61</t>
  </si>
  <si>
    <t>VI-62</t>
  </si>
  <si>
    <t>VI-63</t>
  </si>
  <si>
    <t>VI-64</t>
  </si>
  <si>
    <t>VI-65</t>
  </si>
  <si>
    <t>VI-66</t>
  </si>
  <si>
    <t>VI-67</t>
  </si>
  <si>
    <t>VI-68</t>
  </si>
  <si>
    <t>VI-69</t>
  </si>
  <si>
    <t>VI-70</t>
  </si>
  <si>
    <t>VI-71</t>
  </si>
  <si>
    <t>VI-72</t>
  </si>
  <si>
    <t>VI-73</t>
  </si>
  <si>
    <t>VI-74</t>
  </si>
  <si>
    <t>VI-75</t>
  </si>
  <si>
    <t>VI-76</t>
  </si>
  <si>
    <t>VI-77</t>
  </si>
  <si>
    <t>VI-78</t>
  </si>
  <si>
    <t>VI-79</t>
  </si>
  <si>
    <t>VI-80</t>
  </si>
  <si>
    <t>VI-81</t>
  </si>
  <si>
    <t>VI-82</t>
  </si>
  <si>
    <t>VI-83</t>
  </si>
  <si>
    <t>VI-84</t>
  </si>
  <si>
    <t>VI-85</t>
  </si>
  <si>
    <t>VI-86</t>
  </si>
  <si>
    <t>VI-87</t>
  </si>
  <si>
    <t>VI-88</t>
  </si>
  <si>
    <t>VI-89</t>
  </si>
  <si>
    <t>VI-90</t>
  </si>
  <si>
    <t>VI-91</t>
  </si>
  <si>
    <t>VI-92</t>
  </si>
  <si>
    <t>VI-93</t>
  </si>
  <si>
    <t>VI-94</t>
  </si>
  <si>
    <t>VI-95</t>
  </si>
  <si>
    <t>VI-96</t>
  </si>
  <si>
    <t>VI-97</t>
  </si>
  <si>
    <t>VI-98</t>
  </si>
  <si>
    <t>VI-99</t>
  </si>
  <si>
    <t>VI-100</t>
  </si>
  <si>
    <t>VI-101</t>
  </si>
  <si>
    <t>VI-102</t>
  </si>
  <si>
    <t>VI-103</t>
  </si>
  <si>
    <t>VI-104</t>
  </si>
  <si>
    <t>VI-105</t>
  </si>
  <si>
    <t>VI-106</t>
  </si>
  <si>
    <t>VI-107</t>
  </si>
  <si>
    <t>VI-108</t>
  </si>
  <si>
    <t>VI-109</t>
  </si>
  <si>
    <t>VI-110</t>
  </si>
  <si>
    <t>VI-111</t>
  </si>
  <si>
    <t>VI-112</t>
  </si>
  <si>
    <t>VI-113</t>
  </si>
  <si>
    <t>VI-114</t>
  </si>
  <si>
    <t>VI-115</t>
  </si>
  <si>
    <t>VI-116</t>
  </si>
  <si>
    <t>VI-117</t>
  </si>
  <si>
    <t>VI-118</t>
  </si>
  <si>
    <t>VI-119</t>
  </si>
  <si>
    <t>VI-120</t>
  </si>
  <si>
    <t>VI-121</t>
  </si>
  <si>
    <t>VI-122</t>
  </si>
  <si>
    <t>VI-123</t>
  </si>
  <si>
    <t>VI-124</t>
  </si>
  <si>
    <t>VI-125</t>
  </si>
  <si>
    <t>VI-126</t>
  </si>
  <si>
    <t>VI-127</t>
  </si>
  <si>
    <t>VI-128</t>
  </si>
  <si>
    <t>VI-129</t>
  </si>
  <si>
    <t>VI-130</t>
  </si>
  <si>
    <t>VI-131</t>
  </si>
  <si>
    <t>VI-132</t>
  </si>
  <si>
    <t>VI-133</t>
  </si>
  <si>
    <t>VI-134</t>
  </si>
  <si>
    <t>VI-135</t>
  </si>
  <si>
    <t>VI-136</t>
  </si>
  <si>
    <t>VI-137</t>
  </si>
  <si>
    <t>VI-138</t>
  </si>
  <si>
    <t>VI-139</t>
  </si>
  <si>
    <t>VI-140</t>
  </si>
  <si>
    <t>VI-141</t>
  </si>
  <si>
    <t>VI-142</t>
  </si>
  <si>
    <t>VI-143</t>
  </si>
  <si>
    <t>VI-144</t>
  </si>
  <si>
    <t>VI-145</t>
  </si>
  <si>
    <t>VI-146</t>
  </si>
  <si>
    <t>VI-147</t>
  </si>
  <si>
    <t>VI-148</t>
  </si>
  <si>
    <t>VI-149</t>
  </si>
  <si>
    <t>VI-150</t>
  </si>
  <si>
    <t>VI-151</t>
  </si>
  <si>
    <t>VI-152</t>
  </si>
  <si>
    <t>Driver ID</t>
  </si>
  <si>
    <t>Driver Name</t>
  </si>
  <si>
    <t>Licence Number</t>
  </si>
  <si>
    <t>Contact</t>
  </si>
  <si>
    <t>Employee ID</t>
  </si>
  <si>
    <t>Name</t>
  </si>
  <si>
    <t>Department Name</t>
  </si>
  <si>
    <t>HOD</t>
  </si>
  <si>
    <t>Operations</t>
  </si>
  <si>
    <t>Finance</t>
  </si>
  <si>
    <t>Works and Maintenance</t>
  </si>
  <si>
    <t>Facilitation</t>
  </si>
  <si>
    <t>IT Admin</t>
  </si>
  <si>
    <t>Umair Awan</t>
  </si>
  <si>
    <t>Ejaz Ahmad</t>
  </si>
  <si>
    <t>Asfand Yar</t>
  </si>
  <si>
    <t>Shahmeer Afzal</t>
  </si>
  <si>
    <t>Hammad Malik</t>
  </si>
  <si>
    <t>Specification</t>
  </si>
  <si>
    <t>Dimension</t>
  </si>
  <si>
    <t>Client ID</t>
  </si>
  <si>
    <t>Location</t>
  </si>
  <si>
    <t xml:space="preserve">Weight </t>
  </si>
  <si>
    <t>Revenue</t>
  </si>
  <si>
    <t>C-180</t>
  </si>
  <si>
    <t xml:space="preserve">( RPT ) </t>
  </si>
  <si>
    <t>Inbound Revenue</t>
  </si>
  <si>
    <t xml:space="preserve">Operational Expense </t>
  </si>
  <si>
    <t>Cash Inflow</t>
  </si>
  <si>
    <t>C-001</t>
  </si>
  <si>
    <t>C-072</t>
  </si>
  <si>
    <t>C-044</t>
  </si>
  <si>
    <t>C-176</t>
  </si>
  <si>
    <t>C-060</t>
  </si>
  <si>
    <t>C-167</t>
  </si>
  <si>
    <t>C-195</t>
  </si>
  <si>
    <t>C-377</t>
  </si>
  <si>
    <t>C-058</t>
  </si>
  <si>
    <t>GUJRANWALA</t>
  </si>
  <si>
    <t>ABBOTTABAD</t>
  </si>
  <si>
    <t>LAHORE</t>
  </si>
  <si>
    <t>ISLAMABAD</t>
  </si>
  <si>
    <t>SAWABI</t>
  </si>
  <si>
    <t>BANNU</t>
  </si>
  <si>
    <t>SIALKOT</t>
  </si>
  <si>
    <t>TIMERGARA</t>
  </si>
  <si>
    <t>KAMOKE</t>
  </si>
  <si>
    <t>RAWALPINDI</t>
  </si>
  <si>
    <t>KASUR</t>
  </si>
  <si>
    <t>C-154</t>
  </si>
  <si>
    <t>C-256</t>
  </si>
  <si>
    <t>C-231</t>
  </si>
  <si>
    <t>C-022</t>
  </si>
  <si>
    <t>C-001`</t>
  </si>
  <si>
    <t>OR-003</t>
  </si>
  <si>
    <t>C-345</t>
  </si>
  <si>
    <t>BUNER</t>
  </si>
  <si>
    <t>GAJJUMATTA</t>
  </si>
  <si>
    <t>WAH CANTT</t>
  </si>
  <si>
    <t>TARNOL</t>
  </si>
  <si>
    <t>JAHURABAD</t>
  </si>
  <si>
    <t>PESHAWAR</t>
  </si>
  <si>
    <t>SHAIDU</t>
  </si>
  <si>
    <t>NOWSHERA</t>
  </si>
  <si>
    <t>CHAKWAL</t>
  </si>
  <si>
    <t>TOPI</t>
  </si>
  <si>
    <t>OR-002</t>
  </si>
  <si>
    <t>HAZRO</t>
  </si>
  <si>
    <t>MINGORA</t>
  </si>
  <si>
    <t>ATTOCK</t>
  </si>
  <si>
    <t>SHEIKHUPURA</t>
  </si>
  <si>
    <t>BATKHELA</t>
  </si>
  <si>
    <t>C-380</t>
  </si>
  <si>
    <t>BAJAUR</t>
  </si>
  <si>
    <t>GOJRA</t>
  </si>
  <si>
    <t>GUJRAT</t>
  </si>
  <si>
    <t>FAISALABAD</t>
  </si>
  <si>
    <t>RAIWIND</t>
  </si>
  <si>
    <t>JHELUM</t>
  </si>
  <si>
    <t>C-372</t>
  </si>
  <si>
    <t>C-196</t>
  </si>
  <si>
    <t>OR-004</t>
  </si>
  <si>
    <t>C-339</t>
  </si>
  <si>
    <t>CHAKDARA</t>
  </si>
  <si>
    <t>MALAKAND</t>
  </si>
  <si>
    <t>C-363</t>
  </si>
  <si>
    <t>TAXILA</t>
  </si>
  <si>
    <t>150*800</t>
  </si>
  <si>
    <t>200*900</t>
  </si>
  <si>
    <t xml:space="preserve">250*750 </t>
  </si>
  <si>
    <t>300*900</t>
  </si>
  <si>
    <t xml:space="preserve">300*800 </t>
  </si>
  <si>
    <t>600*600 M  250*500</t>
  </si>
  <si>
    <t>600*600 450*900</t>
  </si>
  <si>
    <t>400*400</t>
  </si>
  <si>
    <t>600*1200</t>
  </si>
  <si>
    <t>120*600</t>
  </si>
  <si>
    <t>200*1200</t>
  </si>
  <si>
    <t>C-178</t>
  </si>
  <si>
    <t>FAIALABAD</t>
  </si>
  <si>
    <t>CHINIOT</t>
  </si>
  <si>
    <t>C-378</t>
  </si>
  <si>
    <t>MANDI BAHAUDDIN</t>
  </si>
  <si>
    <t>PHALIA</t>
  </si>
  <si>
    <t>NAROWAL</t>
  </si>
  <si>
    <t>C-121</t>
  </si>
  <si>
    <t>C-366</t>
  </si>
  <si>
    <t>C-379</t>
  </si>
  <si>
    <t>KHURRIANWALA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</si>
  <si>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</si>
  <si>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</si>
  <si>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</si>
  <si>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</si>
  <si>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</si>
  <si>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</si>
  <si>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</si>
  <si>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</si>
  <si>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</si>
  <si>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</si>
  <si>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</si>
  <si>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Invoice ID</t>
  </si>
  <si>
    <t>Total Bill</t>
  </si>
  <si>
    <t>EI-01</t>
  </si>
  <si>
    <t>EI-02</t>
  </si>
  <si>
    <t>EI-03</t>
  </si>
  <si>
    <t>EI-04</t>
  </si>
  <si>
    <t>EI-05</t>
  </si>
  <si>
    <t>EI-06</t>
  </si>
  <si>
    <t>EI-07</t>
  </si>
  <si>
    <t>EI-08</t>
  </si>
  <si>
    <t>EI-09</t>
  </si>
  <si>
    <t>EI-10</t>
  </si>
  <si>
    <t>EI-11</t>
  </si>
  <si>
    <t>EI-12</t>
  </si>
  <si>
    <t>EI-13</t>
  </si>
  <si>
    <t>EI-14</t>
  </si>
  <si>
    <t>EI-15</t>
  </si>
  <si>
    <t>EI-16</t>
  </si>
  <si>
    <t>Ejaz Ahmed</t>
  </si>
  <si>
    <t>Zulfiqar Haider</t>
  </si>
  <si>
    <t>Ali Kazmi</t>
  </si>
  <si>
    <t>Masood Khan</t>
  </si>
  <si>
    <t>Asfand Yaar</t>
  </si>
  <si>
    <t>Sagheer Ali</t>
  </si>
  <si>
    <t>Zain Ahmed</t>
  </si>
  <si>
    <t>Iqbal Hussain</t>
  </si>
  <si>
    <t>Anees Ahmed</t>
  </si>
  <si>
    <t>Shafiq Ullah</t>
  </si>
  <si>
    <t>Ishfaq Ali</t>
  </si>
  <si>
    <t>Talha Saad</t>
  </si>
  <si>
    <t>Amjad Ali</t>
  </si>
  <si>
    <t>Mushtaq Bhutta</t>
  </si>
  <si>
    <t>Abdul Wadood</t>
  </si>
  <si>
    <t>Tanveer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</si>
</sst>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0" x14ac:knownFonts="1">
    <font>
      <sz val="12"/>
      <color theme="1"/>
      <name val="Aptos Narrow"/>
      <family val="2"/>
      <scheme val="minor"/>
    </font>
    <font>
      <sz val="16"/>
      <color theme="1"/>
      <name val="Cambria"/>
      <family val="1"/>
    </font>
    <font>
      <sz val="8"/>
      <name val="Aptos Narrow"/>
      <family val="2"/>
      <scheme val="minor"/>
    </font>
    <font>
      <sz val="16"/>
      <name val="Cambria"/>
      <family val="1"/>
    </font>
    <font>
      <sz val="16"/>
      <color rgb="FF000000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sz val="12"/>
      <color rgb="FFC00000"/>
      <name val="Cambria"/>
      <family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4" borderId="0" xfId="0" applyFill="1"/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9" fillId="0" borderId="0" xfId="0" applyFont="1"/>
    <xf numFmtId="0" fontId="7" fillId="2" borderId="3" xfId="0" applyFont="1" applyFill="1" applyBorder="1"/>
    <xf numFmtId="0" fontId="8" fillId="2" borderId="3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B928-BA37-F441-8709-C55CAC60773A}">
  <dimension ref="A1:B153"/>
  <sheetViews>
    <sheetView zoomScale="75" workbookViewId="0">
      <selection activeCell="A2" sqref="A2"/>
    </sheetView>
  </sheetViews>
  <sheetFormatPr baseColWidth="10" defaultRowHeight="16" x14ac:dyDescent="0.2"/>
  <cols>
    <col min="1" max="1" width="19.33203125" customWidth="1"/>
    <col min="2" max="2" width="20.83203125" customWidth="1"/>
  </cols>
  <sheetData>
    <row r="1" spans="1:2" x14ac:dyDescent="0.2">
      <c r="A1" t="s">
        <v>14</v>
      </c>
      <c r="B1" t="s">
        <v>34</v>
      </c>
    </row>
    <row r="2" spans="1:2" ht="22" x14ac:dyDescent="0.2">
      <c r="A2" t="s">
        <v>35</v>
      </c>
      <c r="B2" s="1" t="s">
        <v>15</v>
      </c>
    </row>
    <row r="3" spans="1:2" ht="22" x14ac:dyDescent="0.2">
      <c r="A3" t="s">
        <v>36</v>
      </c>
      <c r="B3" s="1" t="s">
        <v>15</v>
      </c>
    </row>
    <row r="4" spans="1:2" ht="22" x14ac:dyDescent="0.2">
      <c r="A4" t="s">
        <v>37</v>
      </c>
      <c r="B4" s="1" t="s">
        <v>16</v>
      </c>
    </row>
    <row r="5" spans="1:2" ht="22" x14ac:dyDescent="0.2">
      <c r="A5" t="s">
        <v>38</v>
      </c>
      <c r="B5" s="1" t="s">
        <v>17</v>
      </c>
    </row>
    <row r="6" spans="1:2" ht="22" x14ac:dyDescent="0.2">
      <c r="A6" t="s">
        <v>39</v>
      </c>
      <c r="B6" s="1" t="s">
        <v>18</v>
      </c>
    </row>
    <row r="7" spans="1:2" ht="22" x14ac:dyDescent="0.2">
      <c r="A7" t="s">
        <v>40</v>
      </c>
      <c r="B7" s="1" t="s">
        <v>18</v>
      </c>
    </row>
    <row r="8" spans="1:2" ht="22" x14ac:dyDescent="0.2">
      <c r="A8" t="s">
        <v>41</v>
      </c>
      <c r="B8" s="1" t="s">
        <v>19</v>
      </c>
    </row>
    <row r="9" spans="1:2" ht="22" x14ac:dyDescent="0.2">
      <c r="A9" t="s">
        <v>42</v>
      </c>
      <c r="B9" s="1" t="s">
        <v>20</v>
      </c>
    </row>
    <row r="10" spans="1:2" ht="22" x14ac:dyDescent="0.2">
      <c r="A10" t="s">
        <v>43</v>
      </c>
      <c r="B10" s="1" t="s">
        <v>21</v>
      </c>
    </row>
    <row r="11" spans="1:2" ht="22" x14ac:dyDescent="0.2">
      <c r="A11" t="s">
        <v>44</v>
      </c>
      <c r="B11" s="1" t="s">
        <v>22</v>
      </c>
    </row>
    <row r="12" spans="1:2" ht="22" x14ac:dyDescent="0.2">
      <c r="A12" t="s">
        <v>45</v>
      </c>
      <c r="B12" s="1" t="s">
        <v>23</v>
      </c>
    </row>
    <row r="13" spans="1:2" ht="22" x14ac:dyDescent="0.2">
      <c r="A13" t="s">
        <v>46</v>
      </c>
      <c r="B13" s="1" t="s">
        <v>24</v>
      </c>
    </row>
    <row r="14" spans="1:2" ht="22" x14ac:dyDescent="0.2">
      <c r="A14" t="s">
        <v>47</v>
      </c>
      <c r="B14" s="1" t="s">
        <v>24</v>
      </c>
    </row>
    <row r="15" spans="1:2" ht="22" x14ac:dyDescent="0.2">
      <c r="A15" t="s">
        <v>48</v>
      </c>
      <c r="B15" s="1" t="s">
        <v>25</v>
      </c>
    </row>
    <row r="16" spans="1:2" ht="22" x14ac:dyDescent="0.2">
      <c r="A16" t="s">
        <v>49</v>
      </c>
      <c r="B16" s="1" t="s">
        <v>26</v>
      </c>
    </row>
    <row r="17" spans="1:2" ht="22" x14ac:dyDescent="0.2">
      <c r="A17" t="s">
        <v>50</v>
      </c>
      <c r="B17" s="1" t="s">
        <v>26</v>
      </c>
    </row>
    <row r="18" spans="1:2" ht="22" x14ac:dyDescent="0.2">
      <c r="A18" t="s">
        <v>51</v>
      </c>
      <c r="B18" s="1" t="s">
        <v>27</v>
      </c>
    </row>
    <row r="19" spans="1:2" ht="22" x14ac:dyDescent="0.2">
      <c r="A19" t="s">
        <v>52</v>
      </c>
      <c r="B19" s="1" t="s">
        <v>27</v>
      </c>
    </row>
    <row r="20" spans="1:2" ht="22" x14ac:dyDescent="0.2">
      <c r="A20" t="s">
        <v>53</v>
      </c>
      <c r="B20" s="1" t="s">
        <v>28</v>
      </c>
    </row>
    <row r="21" spans="1:2" ht="22" x14ac:dyDescent="0.2">
      <c r="A21" t="s">
        <v>54</v>
      </c>
      <c r="B21" s="1" t="s">
        <v>29</v>
      </c>
    </row>
    <row r="22" spans="1:2" ht="22" x14ac:dyDescent="0.2">
      <c r="A22" t="s">
        <v>55</v>
      </c>
      <c r="B22" s="1" t="s">
        <v>29</v>
      </c>
    </row>
    <row r="23" spans="1:2" ht="22" x14ac:dyDescent="0.2">
      <c r="A23" t="s">
        <v>56</v>
      </c>
      <c r="B23" s="1" t="s">
        <v>29</v>
      </c>
    </row>
    <row r="24" spans="1:2" ht="22" x14ac:dyDescent="0.2">
      <c r="A24" t="s">
        <v>57</v>
      </c>
      <c r="B24" s="1" t="s">
        <v>30</v>
      </c>
    </row>
    <row r="25" spans="1:2" ht="22" x14ac:dyDescent="0.2">
      <c r="A25" t="s">
        <v>58</v>
      </c>
      <c r="B25" s="1" t="s">
        <v>30</v>
      </c>
    </row>
    <row r="26" spans="1:2" ht="22" x14ac:dyDescent="0.2">
      <c r="A26" t="s">
        <v>59</v>
      </c>
      <c r="B26" s="1" t="s">
        <v>31</v>
      </c>
    </row>
    <row r="27" spans="1:2" ht="22" x14ac:dyDescent="0.2">
      <c r="A27" t="s">
        <v>60</v>
      </c>
      <c r="B27" s="1" t="s">
        <v>32</v>
      </c>
    </row>
    <row r="28" spans="1:2" ht="22" x14ac:dyDescent="0.2">
      <c r="A28" t="s">
        <v>61</v>
      </c>
      <c r="B28" s="1" t="s">
        <v>33</v>
      </c>
    </row>
    <row r="29" spans="1:2" ht="22" x14ac:dyDescent="0.2">
      <c r="A29" t="s">
        <v>62</v>
      </c>
      <c r="B29" s="1" t="s">
        <v>33</v>
      </c>
    </row>
    <row r="30" spans="1:2" ht="22" x14ac:dyDescent="0.2">
      <c r="A30" t="s">
        <v>63</v>
      </c>
      <c r="B30" s="1" t="s">
        <v>15</v>
      </c>
    </row>
    <row r="31" spans="1:2" ht="22" x14ac:dyDescent="0.2">
      <c r="A31" t="s">
        <v>64</v>
      </c>
      <c r="B31" s="1" t="s">
        <v>15</v>
      </c>
    </row>
    <row r="32" spans="1:2" ht="22" x14ac:dyDescent="0.2">
      <c r="A32" t="s">
        <v>65</v>
      </c>
      <c r="B32" s="1" t="s">
        <v>15</v>
      </c>
    </row>
    <row r="33" spans="1:2" ht="22" x14ac:dyDescent="0.2">
      <c r="A33" t="s">
        <v>66</v>
      </c>
      <c r="B33" s="1" t="s">
        <v>15</v>
      </c>
    </row>
    <row r="34" spans="1:2" ht="22" x14ac:dyDescent="0.2">
      <c r="A34" t="s">
        <v>72</v>
      </c>
      <c r="B34" s="2" t="s">
        <v>67</v>
      </c>
    </row>
    <row r="35" spans="1:2" ht="22" x14ac:dyDescent="0.2">
      <c r="A35" t="s">
        <v>73</v>
      </c>
      <c r="B35" s="2" t="s">
        <v>68</v>
      </c>
    </row>
    <row r="36" spans="1:2" ht="22" x14ac:dyDescent="0.2">
      <c r="A36" t="s">
        <v>74</v>
      </c>
      <c r="B36" s="2" t="s">
        <v>69</v>
      </c>
    </row>
    <row r="37" spans="1:2" ht="22" x14ac:dyDescent="0.2">
      <c r="A37" t="s">
        <v>75</v>
      </c>
      <c r="B37" s="2" t="s">
        <v>70</v>
      </c>
    </row>
    <row r="38" spans="1:2" ht="22" x14ac:dyDescent="0.2">
      <c r="A38" t="s">
        <v>76</v>
      </c>
      <c r="B38" s="2" t="s">
        <v>71</v>
      </c>
    </row>
    <row r="39" spans="1:2" ht="22" x14ac:dyDescent="0.2">
      <c r="A39" t="s">
        <v>135</v>
      </c>
      <c r="B39" s="2" t="s">
        <v>77</v>
      </c>
    </row>
    <row r="40" spans="1:2" ht="22" x14ac:dyDescent="0.2">
      <c r="A40" t="s">
        <v>136</v>
      </c>
      <c r="B40" s="2" t="s">
        <v>78</v>
      </c>
    </row>
    <row r="41" spans="1:2" ht="22" x14ac:dyDescent="0.2">
      <c r="A41" t="s">
        <v>137</v>
      </c>
      <c r="B41" s="2" t="s">
        <v>78</v>
      </c>
    </row>
    <row r="42" spans="1:2" ht="22" x14ac:dyDescent="0.2">
      <c r="A42" t="s">
        <v>138</v>
      </c>
      <c r="B42" s="2" t="s">
        <v>79</v>
      </c>
    </row>
    <row r="43" spans="1:2" ht="22" x14ac:dyDescent="0.2">
      <c r="A43" t="s">
        <v>139</v>
      </c>
      <c r="B43" s="2" t="s">
        <v>80</v>
      </c>
    </row>
    <row r="44" spans="1:2" ht="22" x14ac:dyDescent="0.2">
      <c r="A44" t="s">
        <v>140</v>
      </c>
      <c r="B44" s="2" t="s">
        <v>80</v>
      </c>
    </row>
    <row r="45" spans="1:2" ht="22" x14ac:dyDescent="0.2">
      <c r="A45" t="s">
        <v>141</v>
      </c>
      <c r="B45" s="2" t="s">
        <v>81</v>
      </c>
    </row>
    <row r="46" spans="1:2" ht="22" x14ac:dyDescent="0.2">
      <c r="A46" t="s">
        <v>142</v>
      </c>
      <c r="B46" s="2" t="s">
        <v>82</v>
      </c>
    </row>
    <row r="47" spans="1:2" ht="22" x14ac:dyDescent="0.2">
      <c r="A47" t="s">
        <v>143</v>
      </c>
      <c r="B47" s="2" t="s">
        <v>82</v>
      </c>
    </row>
    <row r="48" spans="1:2" ht="22" x14ac:dyDescent="0.2">
      <c r="A48" t="s">
        <v>144</v>
      </c>
      <c r="B48" s="2" t="s">
        <v>83</v>
      </c>
    </row>
    <row r="49" spans="1:2" ht="22" x14ac:dyDescent="0.2">
      <c r="A49" t="s">
        <v>145</v>
      </c>
      <c r="B49" s="2" t="s">
        <v>84</v>
      </c>
    </row>
    <row r="50" spans="1:2" ht="22" x14ac:dyDescent="0.2">
      <c r="A50" t="s">
        <v>146</v>
      </c>
      <c r="B50" s="2" t="s">
        <v>84</v>
      </c>
    </row>
    <row r="51" spans="1:2" ht="22" x14ac:dyDescent="0.2">
      <c r="A51" t="s">
        <v>147</v>
      </c>
      <c r="B51" s="2" t="s">
        <v>85</v>
      </c>
    </row>
    <row r="52" spans="1:2" ht="22" x14ac:dyDescent="0.2">
      <c r="A52" t="s">
        <v>148</v>
      </c>
      <c r="B52" s="2" t="s">
        <v>85</v>
      </c>
    </row>
    <row r="53" spans="1:2" ht="22" x14ac:dyDescent="0.2">
      <c r="A53" t="s">
        <v>149</v>
      </c>
      <c r="B53" s="2" t="s">
        <v>86</v>
      </c>
    </row>
    <row r="54" spans="1:2" ht="22" x14ac:dyDescent="0.2">
      <c r="A54" t="s">
        <v>150</v>
      </c>
      <c r="B54" s="2" t="s">
        <v>87</v>
      </c>
    </row>
    <row r="55" spans="1:2" ht="22" x14ac:dyDescent="0.2">
      <c r="A55" t="s">
        <v>151</v>
      </c>
      <c r="B55" s="2" t="s">
        <v>87</v>
      </c>
    </row>
    <row r="56" spans="1:2" ht="22" x14ac:dyDescent="0.2">
      <c r="A56" t="s">
        <v>152</v>
      </c>
      <c r="B56" s="2" t="s">
        <v>88</v>
      </c>
    </row>
    <row r="57" spans="1:2" ht="22" x14ac:dyDescent="0.2">
      <c r="A57" t="s">
        <v>153</v>
      </c>
      <c r="B57" s="2" t="s">
        <v>88</v>
      </c>
    </row>
    <row r="58" spans="1:2" ht="22" x14ac:dyDescent="0.2">
      <c r="A58" t="s">
        <v>154</v>
      </c>
      <c r="B58" s="2" t="s">
        <v>89</v>
      </c>
    </row>
    <row r="59" spans="1:2" ht="22" x14ac:dyDescent="0.2">
      <c r="A59" t="s">
        <v>155</v>
      </c>
      <c r="B59" s="2" t="s">
        <v>89</v>
      </c>
    </row>
    <row r="60" spans="1:2" ht="22" x14ac:dyDescent="0.2">
      <c r="A60" t="s">
        <v>156</v>
      </c>
      <c r="B60" s="2" t="s">
        <v>21</v>
      </c>
    </row>
    <row r="61" spans="1:2" ht="22" x14ac:dyDescent="0.2">
      <c r="A61" t="s">
        <v>157</v>
      </c>
      <c r="B61" s="2" t="s">
        <v>90</v>
      </c>
    </row>
    <row r="62" spans="1:2" ht="22" x14ac:dyDescent="0.2">
      <c r="A62" t="s">
        <v>158</v>
      </c>
      <c r="B62" s="2" t="s">
        <v>91</v>
      </c>
    </row>
    <row r="63" spans="1:2" ht="22" x14ac:dyDescent="0.2">
      <c r="A63" t="s">
        <v>159</v>
      </c>
      <c r="B63" s="2" t="s">
        <v>92</v>
      </c>
    </row>
    <row r="64" spans="1:2" ht="22" x14ac:dyDescent="0.2">
      <c r="A64" t="s">
        <v>160</v>
      </c>
      <c r="B64" s="2" t="s">
        <v>92</v>
      </c>
    </row>
    <row r="65" spans="1:2" ht="22" x14ac:dyDescent="0.2">
      <c r="A65" t="s">
        <v>161</v>
      </c>
      <c r="B65" s="2" t="s">
        <v>93</v>
      </c>
    </row>
    <row r="66" spans="1:2" ht="22" x14ac:dyDescent="0.2">
      <c r="A66" t="s">
        <v>162</v>
      </c>
      <c r="B66" s="2" t="s">
        <v>93</v>
      </c>
    </row>
    <row r="67" spans="1:2" ht="22" x14ac:dyDescent="0.2">
      <c r="A67" t="s">
        <v>163</v>
      </c>
      <c r="B67" s="2" t="s">
        <v>94</v>
      </c>
    </row>
    <row r="68" spans="1:2" ht="22" x14ac:dyDescent="0.2">
      <c r="A68" t="s">
        <v>164</v>
      </c>
      <c r="B68" s="2" t="s">
        <v>95</v>
      </c>
    </row>
    <row r="69" spans="1:2" ht="22" x14ac:dyDescent="0.2">
      <c r="A69" t="s">
        <v>165</v>
      </c>
      <c r="B69" s="2" t="s">
        <v>95</v>
      </c>
    </row>
    <row r="70" spans="1:2" ht="22" x14ac:dyDescent="0.2">
      <c r="A70" t="s">
        <v>166</v>
      </c>
      <c r="B70" s="2" t="s">
        <v>96</v>
      </c>
    </row>
    <row r="71" spans="1:2" ht="22" x14ac:dyDescent="0.2">
      <c r="A71" t="s">
        <v>167</v>
      </c>
      <c r="B71" s="2" t="s">
        <v>96</v>
      </c>
    </row>
    <row r="72" spans="1:2" ht="22" x14ac:dyDescent="0.2">
      <c r="A72" t="s">
        <v>168</v>
      </c>
      <c r="B72" s="2" t="s">
        <v>97</v>
      </c>
    </row>
    <row r="73" spans="1:2" ht="22" x14ac:dyDescent="0.2">
      <c r="A73" t="s">
        <v>169</v>
      </c>
      <c r="B73" s="2" t="s">
        <v>97</v>
      </c>
    </row>
    <row r="74" spans="1:2" ht="22" x14ac:dyDescent="0.2">
      <c r="A74" t="s">
        <v>170</v>
      </c>
      <c r="B74" s="2" t="s">
        <v>98</v>
      </c>
    </row>
    <row r="75" spans="1:2" ht="22" x14ac:dyDescent="0.2">
      <c r="A75" t="s">
        <v>171</v>
      </c>
      <c r="B75" s="2" t="s">
        <v>98</v>
      </c>
    </row>
    <row r="76" spans="1:2" ht="22" x14ac:dyDescent="0.2">
      <c r="A76" t="s">
        <v>172</v>
      </c>
      <c r="B76" s="2" t="s">
        <v>27</v>
      </c>
    </row>
    <row r="77" spans="1:2" ht="22" x14ac:dyDescent="0.2">
      <c r="A77" t="s">
        <v>173</v>
      </c>
      <c r="B77" s="2" t="s">
        <v>27</v>
      </c>
    </row>
    <row r="78" spans="1:2" ht="22" x14ac:dyDescent="0.2">
      <c r="A78" t="s">
        <v>174</v>
      </c>
      <c r="B78" s="2" t="s">
        <v>99</v>
      </c>
    </row>
    <row r="79" spans="1:2" ht="22" x14ac:dyDescent="0.2">
      <c r="A79" t="s">
        <v>175</v>
      </c>
      <c r="B79" s="2" t="s">
        <v>100</v>
      </c>
    </row>
    <row r="80" spans="1:2" ht="22" x14ac:dyDescent="0.2">
      <c r="A80" t="s">
        <v>176</v>
      </c>
      <c r="B80" s="2" t="s">
        <v>101</v>
      </c>
    </row>
    <row r="81" spans="1:2" ht="22" x14ac:dyDescent="0.2">
      <c r="A81" t="s">
        <v>177</v>
      </c>
      <c r="B81" s="2" t="s">
        <v>101</v>
      </c>
    </row>
    <row r="82" spans="1:2" ht="22" x14ac:dyDescent="0.2">
      <c r="A82" t="s">
        <v>178</v>
      </c>
      <c r="B82" s="2" t="s">
        <v>102</v>
      </c>
    </row>
    <row r="83" spans="1:2" ht="22" x14ac:dyDescent="0.2">
      <c r="A83" t="s">
        <v>179</v>
      </c>
      <c r="B83" s="2" t="s">
        <v>103</v>
      </c>
    </row>
    <row r="84" spans="1:2" ht="22" x14ac:dyDescent="0.2">
      <c r="A84" t="s">
        <v>180</v>
      </c>
      <c r="B84" s="2" t="s">
        <v>104</v>
      </c>
    </row>
    <row r="85" spans="1:2" ht="22" x14ac:dyDescent="0.2">
      <c r="A85" t="s">
        <v>181</v>
      </c>
      <c r="B85" s="2" t="s">
        <v>105</v>
      </c>
    </row>
    <row r="86" spans="1:2" ht="22" x14ac:dyDescent="0.2">
      <c r="A86" t="s">
        <v>182</v>
      </c>
      <c r="B86" s="2" t="s">
        <v>106</v>
      </c>
    </row>
    <row r="87" spans="1:2" ht="22" x14ac:dyDescent="0.2">
      <c r="A87" t="s">
        <v>183</v>
      </c>
      <c r="B87" s="2" t="s">
        <v>106</v>
      </c>
    </row>
    <row r="88" spans="1:2" ht="22" x14ac:dyDescent="0.2">
      <c r="A88" t="s">
        <v>184</v>
      </c>
      <c r="B88" s="2" t="s">
        <v>107</v>
      </c>
    </row>
    <row r="89" spans="1:2" ht="22" x14ac:dyDescent="0.2">
      <c r="A89" t="s">
        <v>185</v>
      </c>
      <c r="B89" s="2" t="s">
        <v>108</v>
      </c>
    </row>
    <row r="90" spans="1:2" ht="22" x14ac:dyDescent="0.2">
      <c r="A90" t="s">
        <v>186</v>
      </c>
      <c r="B90" s="2" t="s">
        <v>108</v>
      </c>
    </row>
    <row r="91" spans="1:2" ht="22" x14ac:dyDescent="0.2">
      <c r="A91" t="s">
        <v>187</v>
      </c>
      <c r="B91" s="2" t="s">
        <v>109</v>
      </c>
    </row>
    <row r="92" spans="1:2" ht="22" x14ac:dyDescent="0.2">
      <c r="A92" t="s">
        <v>188</v>
      </c>
      <c r="B92" s="2" t="s">
        <v>110</v>
      </c>
    </row>
    <row r="93" spans="1:2" ht="22" x14ac:dyDescent="0.2">
      <c r="A93" t="s">
        <v>189</v>
      </c>
      <c r="B93" s="2" t="s">
        <v>110</v>
      </c>
    </row>
    <row r="94" spans="1:2" ht="22" x14ac:dyDescent="0.2">
      <c r="A94" t="s">
        <v>190</v>
      </c>
      <c r="B94" s="2" t="s">
        <v>111</v>
      </c>
    </row>
    <row r="95" spans="1:2" ht="22" x14ac:dyDescent="0.2">
      <c r="A95" t="s">
        <v>191</v>
      </c>
      <c r="B95" s="2" t="s">
        <v>112</v>
      </c>
    </row>
    <row r="96" spans="1:2" ht="22" x14ac:dyDescent="0.2">
      <c r="A96" t="s">
        <v>192</v>
      </c>
      <c r="B96" s="2" t="s">
        <v>112</v>
      </c>
    </row>
    <row r="97" spans="1:2" ht="22" x14ac:dyDescent="0.2">
      <c r="A97" t="s">
        <v>193</v>
      </c>
      <c r="B97" s="2" t="s">
        <v>112</v>
      </c>
    </row>
    <row r="98" spans="1:2" ht="22" x14ac:dyDescent="0.2">
      <c r="A98" t="s">
        <v>194</v>
      </c>
      <c r="B98" s="2" t="s">
        <v>113</v>
      </c>
    </row>
    <row r="99" spans="1:2" ht="22" x14ac:dyDescent="0.2">
      <c r="A99" t="s">
        <v>195</v>
      </c>
      <c r="B99" s="2" t="s">
        <v>114</v>
      </c>
    </row>
    <row r="100" spans="1:2" ht="22" x14ac:dyDescent="0.2">
      <c r="A100" t="s">
        <v>196</v>
      </c>
      <c r="B100" s="2" t="s">
        <v>115</v>
      </c>
    </row>
    <row r="101" spans="1:2" ht="22" x14ac:dyDescent="0.2">
      <c r="A101" t="s">
        <v>197</v>
      </c>
      <c r="B101" s="2" t="s">
        <v>115</v>
      </c>
    </row>
    <row r="102" spans="1:2" ht="22" x14ac:dyDescent="0.2">
      <c r="A102" t="s">
        <v>198</v>
      </c>
      <c r="B102" s="2" t="s">
        <v>116</v>
      </c>
    </row>
    <row r="103" spans="1:2" ht="22" x14ac:dyDescent="0.2">
      <c r="A103" t="s">
        <v>199</v>
      </c>
      <c r="B103" s="2" t="s">
        <v>116</v>
      </c>
    </row>
    <row r="104" spans="1:2" ht="22" x14ac:dyDescent="0.2">
      <c r="A104" t="s">
        <v>200</v>
      </c>
      <c r="B104" s="2" t="s">
        <v>117</v>
      </c>
    </row>
    <row r="105" spans="1:2" ht="22" x14ac:dyDescent="0.2">
      <c r="A105" t="s">
        <v>201</v>
      </c>
      <c r="B105" s="2" t="s">
        <v>117</v>
      </c>
    </row>
    <row r="106" spans="1:2" ht="22" x14ac:dyDescent="0.2">
      <c r="A106" t="s">
        <v>202</v>
      </c>
      <c r="B106" s="2" t="s">
        <v>117</v>
      </c>
    </row>
    <row r="107" spans="1:2" ht="22" x14ac:dyDescent="0.2">
      <c r="A107" t="s">
        <v>203</v>
      </c>
      <c r="B107" s="2" t="s">
        <v>103</v>
      </c>
    </row>
    <row r="108" spans="1:2" ht="22" x14ac:dyDescent="0.2">
      <c r="A108" t="s">
        <v>204</v>
      </c>
      <c r="B108" s="2" t="s">
        <v>98</v>
      </c>
    </row>
    <row r="109" spans="1:2" ht="22" x14ac:dyDescent="0.2">
      <c r="A109" t="s">
        <v>205</v>
      </c>
      <c r="B109" s="2" t="s">
        <v>98</v>
      </c>
    </row>
    <row r="110" spans="1:2" ht="22" x14ac:dyDescent="0.2">
      <c r="A110" t="s">
        <v>206</v>
      </c>
      <c r="B110" s="2" t="s">
        <v>118</v>
      </c>
    </row>
    <row r="111" spans="1:2" ht="22" x14ac:dyDescent="0.2">
      <c r="A111" t="s">
        <v>207</v>
      </c>
      <c r="B111" s="2" t="s">
        <v>118</v>
      </c>
    </row>
    <row r="112" spans="1:2" ht="22" x14ac:dyDescent="0.2">
      <c r="A112" t="s">
        <v>208</v>
      </c>
      <c r="B112" s="2" t="s">
        <v>119</v>
      </c>
    </row>
    <row r="113" spans="1:2" ht="22" x14ac:dyDescent="0.2">
      <c r="A113" t="s">
        <v>209</v>
      </c>
      <c r="B113" s="2" t="s">
        <v>120</v>
      </c>
    </row>
    <row r="114" spans="1:2" ht="22" x14ac:dyDescent="0.2">
      <c r="A114" t="s">
        <v>210</v>
      </c>
      <c r="B114" s="2" t="s">
        <v>84</v>
      </c>
    </row>
    <row r="115" spans="1:2" ht="22" x14ac:dyDescent="0.2">
      <c r="A115" t="s">
        <v>211</v>
      </c>
      <c r="B115" s="2" t="s">
        <v>84</v>
      </c>
    </row>
    <row r="116" spans="1:2" ht="22" x14ac:dyDescent="0.2">
      <c r="A116" t="s">
        <v>212</v>
      </c>
      <c r="B116" s="2" t="s">
        <v>121</v>
      </c>
    </row>
    <row r="117" spans="1:2" ht="22" x14ac:dyDescent="0.2">
      <c r="A117" t="s">
        <v>213</v>
      </c>
      <c r="B117" s="2" t="s">
        <v>121</v>
      </c>
    </row>
    <row r="118" spans="1:2" ht="22" x14ac:dyDescent="0.2">
      <c r="A118" t="s">
        <v>214</v>
      </c>
      <c r="B118" s="2" t="s">
        <v>87</v>
      </c>
    </row>
    <row r="119" spans="1:2" ht="22" x14ac:dyDescent="0.2">
      <c r="A119" t="s">
        <v>215</v>
      </c>
      <c r="B119" s="2" t="s">
        <v>87</v>
      </c>
    </row>
    <row r="120" spans="1:2" ht="22" x14ac:dyDescent="0.2">
      <c r="A120" t="s">
        <v>216</v>
      </c>
      <c r="B120" s="2" t="s">
        <v>100</v>
      </c>
    </row>
    <row r="121" spans="1:2" ht="22" x14ac:dyDescent="0.2">
      <c r="A121" t="s">
        <v>217</v>
      </c>
      <c r="B121" s="2" t="s">
        <v>100</v>
      </c>
    </row>
    <row r="122" spans="1:2" ht="22" x14ac:dyDescent="0.2">
      <c r="A122" t="s">
        <v>218</v>
      </c>
      <c r="B122" s="2" t="s">
        <v>100</v>
      </c>
    </row>
    <row r="123" spans="1:2" ht="22" x14ac:dyDescent="0.2">
      <c r="A123" t="s">
        <v>219</v>
      </c>
      <c r="B123" s="2" t="s">
        <v>122</v>
      </c>
    </row>
    <row r="124" spans="1:2" ht="22" x14ac:dyDescent="0.2">
      <c r="A124" t="s">
        <v>220</v>
      </c>
      <c r="B124" s="2" t="s">
        <v>122</v>
      </c>
    </row>
    <row r="125" spans="1:2" ht="22" x14ac:dyDescent="0.2">
      <c r="A125" t="s">
        <v>221</v>
      </c>
      <c r="B125" s="2" t="s">
        <v>122</v>
      </c>
    </row>
    <row r="126" spans="1:2" ht="22" x14ac:dyDescent="0.2">
      <c r="A126" t="s">
        <v>222</v>
      </c>
      <c r="B126" s="2" t="s">
        <v>123</v>
      </c>
    </row>
    <row r="127" spans="1:2" ht="22" x14ac:dyDescent="0.2">
      <c r="A127" t="s">
        <v>223</v>
      </c>
      <c r="B127" s="2" t="s">
        <v>123</v>
      </c>
    </row>
    <row r="128" spans="1:2" ht="22" x14ac:dyDescent="0.2">
      <c r="A128" t="s">
        <v>224</v>
      </c>
      <c r="B128" s="2" t="s">
        <v>124</v>
      </c>
    </row>
    <row r="129" spans="1:2" ht="22" x14ac:dyDescent="0.2">
      <c r="A129" t="s">
        <v>225</v>
      </c>
      <c r="B129" s="2" t="s">
        <v>125</v>
      </c>
    </row>
    <row r="130" spans="1:2" ht="22" x14ac:dyDescent="0.2">
      <c r="A130" t="s">
        <v>226</v>
      </c>
      <c r="B130" s="2" t="s">
        <v>103</v>
      </c>
    </row>
    <row r="131" spans="1:2" ht="22" x14ac:dyDescent="0.2">
      <c r="A131" t="s">
        <v>227</v>
      </c>
      <c r="B131" s="2" t="s">
        <v>126</v>
      </c>
    </row>
    <row r="132" spans="1:2" ht="22" x14ac:dyDescent="0.2">
      <c r="A132" t="s">
        <v>228</v>
      </c>
      <c r="B132" s="2" t="s">
        <v>127</v>
      </c>
    </row>
    <row r="133" spans="1:2" ht="22" x14ac:dyDescent="0.2">
      <c r="A133" t="s">
        <v>229</v>
      </c>
      <c r="B133" s="2" t="s">
        <v>114</v>
      </c>
    </row>
    <row r="134" spans="1:2" ht="22" x14ac:dyDescent="0.2">
      <c r="A134" t="s">
        <v>230</v>
      </c>
      <c r="B134" s="2" t="s">
        <v>114</v>
      </c>
    </row>
    <row r="135" spans="1:2" ht="22" x14ac:dyDescent="0.2">
      <c r="A135" t="s">
        <v>231</v>
      </c>
      <c r="B135" s="2" t="s">
        <v>128</v>
      </c>
    </row>
    <row r="136" spans="1:2" ht="22" x14ac:dyDescent="0.2">
      <c r="A136" t="s">
        <v>232</v>
      </c>
      <c r="B136" s="2" t="s">
        <v>128</v>
      </c>
    </row>
    <row r="137" spans="1:2" ht="22" x14ac:dyDescent="0.2">
      <c r="A137" t="s">
        <v>233</v>
      </c>
      <c r="B137" s="2" t="s">
        <v>116</v>
      </c>
    </row>
    <row r="138" spans="1:2" ht="22" x14ac:dyDescent="0.2">
      <c r="A138" t="s">
        <v>234</v>
      </c>
      <c r="B138" s="2" t="s">
        <v>116</v>
      </c>
    </row>
    <row r="139" spans="1:2" ht="22" x14ac:dyDescent="0.2">
      <c r="A139" t="s">
        <v>235</v>
      </c>
      <c r="B139" s="2" t="s">
        <v>129</v>
      </c>
    </row>
    <row r="140" spans="1:2" ht="22" x14ac:dyDescent="0.2">
      <c r="A140" t="s">
        <v>236</v>
      </c>
      <c r="B140" s="2" t="s">
        <v>91</v>
      </c>
    </row>
    <row r="141" spans="1:2" ht="22" x14ac:dyDescent="0.2">
      <c r="A141" t="s">
        <v>237</v>
      </c>
      <c r="B141" s="2" t="s">
        <v>130</v>
      </c>
    </row>
    <row r="142" spans="1:2" ht="22" x14ac:dyDescent="0.2">
      <c r="A142" t="s">
        <v>238</v>
      </c>
      <c r="B142" s="2" t="s">
        <v>131</v>
      </c>
    </row>
    <row r="143" spans="1:2" ht="22" x14ac:dyDescent="0.2">
      <c r="A143" t="s">
        <v>239</v>
      </c>
      <c r="B143" s="2" t="s">
        <v>18</v>
      </c>
    </row>
    <row r="144" spans="1:2" ht="22" x14ac:dyDescent="0.2">
      <c r="A144" t="s">
        <v>240</v>
      </c>
      <c r="B144" s="2" t="s">
        <v>132</v>
      </c>
    </row>
    <row r="145" spans="1:2" ht="22" x14ac:dyDescent="0.2">
      <c r="A145" t="s">
        <v>241</v>
      </c>
      <c r="B145" s="2" t="s">
        <v>27</v>
      </c>
    </row>
    <row r="146" spans="1:2" ht="22" x14ac:dyDescent="0.2">
      <c r="A146" t="s">
        <v>242</v>
      </c>
      <c r="B146" s="2" t="s">
        <v>27</v>
      </c>
    </row>
    <row r="147" spans="1:2" ht="22" x14ac:dyDescent="0.2">
      <c r="A147" t="s">
        <v>243</v>
      </c>
      <c r="B147" s="2" t="s">
        <v>133</v>
      </c>
    </row>
    <row r="148" spans="1:2" ht="22" x14ac:dyDescent="0.2">
      <c r="A148" t="s">
        <v>244</v>
      </c>
      <c r="B148" s="2" t="s">
        <v>133</v>
      </c>
    </row>
    <row r="149" spans="1:2" ht="22" x14ac:dyDescent="0.2">
      <c r="A149" t="s">
        <v>245</v>
      </c>
      <c r="B149" s="2" t="s">
        <v>134</v>
      </c>
    </row>
    <row r="150" spans="1:2" ht="22" x14ac:dyDescent="0.2">
      <c r="A150" t="s">
        <v>246</v>
      </c>
      <c r="B150" s="2" t="s">
        <v>134</v>
      </c>
    </row>
    <row r="151" spans="1:2" ht="22" x14ac:dyDescent="0.2">
      <c r="A151" t="s">
        <v>247</v>
      </c>
      <c r="B151" s="2" t="s">
        <v>79</v>
      </c>
    </row>
    <row r="152" spans="1:2" ht="22" x14ac:dyDescent="0.2">
      <c r="A152" t="s">
        <v>248</v>
      </c>
      <c r="B152" s="2" t="s">
        <v>87</v>
      </c>
    </row>
    <row r="153" spans="1:2" ht="22" x14ac:dyDescent="0.2">
      <c r="A153" t="s">
        <v>249</v>
      </c>
      <c r="B153" s="2" t="s">
        <v>111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61CB-50EA-4446-8773-5759A5044F61}">
  <dimension ref="A1:D1"/>
  <sheetViews>
    <sheetView workbookViewId="0">
      <selection activeCell="D1" sqref="D1"/>
    </sheetView>
  </sheetViews>
  <sheetFormatPr baseColWidth="10" defaultRowHeight="16" x14ac:dyDescent="0.2"/>
  <cols>
    <col min="2" max="2" width="14.6640625" bestFit="1" customWidth="1"/>
    <col min="3" max="3" width="16.83203125" bestFit="1" customWidth="1"/>
    <col min="4" max="4" width="12" bestFit="1" customWidth="1"/>
  </cols>
  <sheetData>
    <row r="1" spans="1:4" x14ac:dyDescent="0.2">
      <c r="A1" t="s">
        <v>250</v>
      </c>
      <c r="B1" t="s">
        <v>251</v>
      </c>
      <c r="C1" t="s">
        <v>252</v>
      </c>
      <c r="D1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1B3B-DC64-AA40-84BB-244CD630CAE5}">
  <dimension ref="A1:D17"/>
  <sheetViews>
    <sheetView zoomScale="134" workbookViewId="0">
      <selection activeCell="C1" sqref="C1"/>
    </sheetView>
  </sheetViews>
  <sheetFormatPr baseColWidth="10" defaultRowHeight="16" x14ac:dyDescent="0.2"/>
  <cols>
    <col min="1" max="1" width="11.1640625" bestFit="1" customWidth="1"/>
    <col min="2" max="2" width="16.1640625" bestFit="1" customWidth="1"/>
    <col min="3" max="3" width="11" bestFit="1" customWidth="1"/>
    <col min="4" max="4" width="14.83203125" bestFit="1" customWidth="1"/>
  </cols>
  <sheetData>
    <row r="1" spans="1:4" x14ac:dyDescent="0.2">
      <c r="A1" t="s">
        <v>254</v>
      </c>
      <c r="B1" t="s">
        <v>255</v>
      </c>
      <c r="C1" t="s">
        <v>0</v>
      </c>
      <c r="D1" t="s">
        <v>1</v>
      </c>
    </row>
    <row r="2" spans="1:4" x14ac:dyDescent="0.2">
      <c r="A2" t="s">
        <v>372</v>
      </c>
      <c r="B2" t="s">
        <v>388</v>
      </c>
    </row>
    <row r="3" spans="1:4" x14ac:dyDescent="0.2">
      <c r="A3" t="s">
        <v>373</v>
      </c>
      <c r="B3" t="s">
        <v>389</v>
      </c>
    </row>
    <row r="4" spans="1:4" x14ac:dyDescent="0.2">
      <c r="A4" t="s">
        <v>374</v>
      </c>
      <c r="B4" t="s">
        <v>390</v>
      </c>
    </row>
    <row r="5" spans="1:4" x14ac:dyDescent="0.2">
      <c r="A5" t="s">
        <v>375</v>
      </c>
      <c r="B5" t="s">
        <v>391</v>
      </c>
    </row>
    <row r="6" spans="1:4" x14ac:dyDescent="0.2">
      <c r="A6" t="s">
        <v>376</v>
      </c>
      <c r="B6" t="s">
        <v>392</v>
      </c>
    </row>
    <row r="7" spans="1:4" x14ac:dyDescent="0.2">
      <c r="A7" t="s">
        <v>377</v>
      </c>
      <c r="B7" t="s">
        <v>402</v>
      </c>
    </row>
    <row r="8" spans="1:4" x14ac:dyDescent="0.2">
      <c r="A8" t="s">
        <v>378</v>
      </c>
      <c r="B8" t="s">
        <v>393</v>
      </c>
    </row>
    <row r="9" spans="1:4" x14ac:dyDescent="0.2">
      <c r="A9" t="s">
        <v>379</v>
      </c>
      <c r="B9" t="s">
        <v>394</v>
      </c>
    </row>
    <row r="10" spans="1:4" x14ac:dyDescent="0.2">
      <c r="A10" t="s">
        <v>380</v>
      </c>
      <c r="B10" t="s">
        <v>395</v>
      </c>
    </row>
    <row r="11" spans="1:4" x14ac:dyDescent="0.2">
      <c r="A11" t="s">
        <v>381</v>
      </c>
      <c r="B11" t="s">
        <v>396</v>
      </c>
    </row>
    <row r="12" spans="1:4" x14ac:dyDescent="0.2">
      <c r="A12" t="s">
        <v>382</v>
      </c>
      <c r="B12" t="s">
        <v>397</v>
      </c>
    </row>
    <row r="13" spans="1:4" x14ac:dyDescent="0.2">
      <c r="A13" t="s">
        <v>383</v>
      </c>
      <c r="B13" t="s">
        <v>398</v>
      </c>
    </row>
    <row r="14" spans="1:4" x14ac:dyDescent="0.2">
      <c r="A14" t="s">
        <v>384</v>
      </c>
      <c r="B14" t="s">
        <v>399</v>
      </c>
    </row>
    <row r="15" spans="1:4" x14ac:dyDescent="0.2">
      <c r="A15" t="s">
        <v>385</v>
      </c>
      <c r="B15" t="s">
        <v>400</v>
      </c>
    </row>
    <row r="16" spans="1:4" x14ac:dyDescent="0.2">
      <c r="A16" t="s">
        <v>386</v>
      </c>
      <c r="B16" t="s">
        <v>401</v>
      </c>
    </row>
    <row r="17" spans="1:2" x14ac:dyDescent="0.2">
      <c r="A17" t="s">
        <v>387</v>
      </c>
      <c r="B17" t="s">
        <v>403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3DD7-F499-3E44-97D0-35B9106839D5}">
  <dimension ref="A1:C1"/>
  <sheetViews>
    <sheetView workbookViewId="0">
      <selection sqref="A1:A1048576"/>
    </sheetView>
  </sheetViews>
  <sheetFormatPr baseColWidth="10" defaultRowHeight="16" x14ac:dyDescent="0.2"/>
  <cols>
    <col min="1" max="1" width="15.6640625" bestFit="1" customWidth="1"/>
    <col min="2" max="2" width="18.33203125" bestFit="1" customWidth="1"/>
    <col min="3" max="3" width="13" bestFit="1" customWidth="1"/>
  </cols>
  <sheetData>
    <row r="1" spans="1:3" x14ac:dyDescent="0.2">
      <c r="A1" t="s">
        <v>3</v>
      </c>
      <c r="B1" t="s">
        <v>2</v>
      </c>
      <c r="C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9E06-BA04-8944-A823-B96A8455D22B}">
  <dimension ref="A1:B6"/>
  <sheetViews>
    <sheetView workbookViewId="0">
      <selection activeCell="A9" sqref="A9"/>
    </sheetView>
  </sheetViews>
  <sheetFormatPr baseColWidth="10" defaultRowHeight="16" x14ac:dyDescent="0.2"/>
  <cols>
    <col min="1" max="1" width="20.6640625" bestFit="1" customWidth="1"/>
    <col min="2" max="2" width="23.83203125" bestFit="1" customWidth="1"/>
    <col min="3" max="3" width="18.5" bestFit="1" customWidth="1"/>
  </cols>
  <sheetData>
    <row r="1" spans="1:2" x14ac:dyDescent="0.2">
      <c r="A1" t="s">
        <v>256</v>
      </c>
      <c r="B1" t="s">
        <v>257</v>
      </c>
    </row>
    <row r="2" spans="1:2" x14ac:dyDescent="0.2">
      <c r="A2" t="s">
        <v>258</v>
      </c>
      <c r="B2" t="s">
        <v>263</v>
      </c>
    </row>
    <row r="3" spans="1:2" x14ac:dyDescent="0.2">
      <c r="A3" t="s">
        <v>259</v>
      </c>
      <c r="B3" t="s">
        <v>264</v>
      </c>
    </row>
    <row r="4" spans="1:2" x14ac:dyDescent="0.2">
      <c r="A4" t="s">
        <v>260</v>
      </c>
      <c r="B4" t="s">
        <v>265</v>
      </c>
    </row>
    <row r="5" spans="1:2" x14ac:dyDescent="0.2">
      <c r="A5" t="s">
        <v>261</v>
      </c>
      <c r="B5" t="s">
        <v>266</v>
      </c>
    </row>
    <row r="6" spans="1:2" x14ac:dyDescent="0.2">
      <c r="A6" t="s">
        <v>262</v>
      </c>
      <c r="B6" t="s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17CA-5323-D543-BDB1-6F4392AE41EA}">
  <dimension ref="A1:D12"/>
  <sheetViews>
    <sheetView workbookViewId="0">
      <selection activeCell="B2" sqref="B2:B12"/>
    </sheetView>
  </sheetViews>
  <sheetFormatPr baseColWidth="10" defaultRowHeight="16" x14ac:dyDescent="0.2"/>
  <cols>
    <col min="1" max="1" width="13.83203125" bestFit="1" customWidth="1"/>
    <col min="2" max="2" width="20.5" bestFit="1" customWidth="1"/>
    <col min="3" max="3" width="12.33203125" bestFit="1" customWidth="1"/>
  </cols>
  <sheetData>
    <row r="1" spans="1:4" x14ac:dyDescent="0.2">
      <c r="A1" t="s">
        <v>268</v>
      </c>
      <c r="B1" t="s">
        <v>269</v>
      </c>
      <c r="C1" s="12"/>
      <c r="D1" s="12"/>
    </row>
    <row r="2" spans="1:4" ht="22" x14ac:dyDescent="0.2">
      <c r="A2" t="s">
        <v>359</v>
      </c>
      <c r="B2" s="10" t="s">
        <v>337</v>
      </c>
      <c r="C2" s="12"/>
      <c r="D2" s="12"/>
    </row>
    <row r="3" spans="1:4" ht="22" x14ac:dyDescent="0.2">
      <c r="A3" t="s">
        <v>360</v>
      </c>
      <c r="B3" s="10" t="s">
        <v>338</v>
      </c>
    </row>
    <row r="4" spans="1:4" ht="22" x14ac:dyDescent="0.2">
      <c r="A4" t="s">
        <v>361</v>
      </c>
      <c r="B4" s="10" t="s">
        <v>339</v>
      </c>
    </row>
    <row r="5" spans="1:4" ht="22" x14ac:dyDescent="0.2">
      <c r="A5" t="s">
        <v>362</v>
      </c>
      <c r="B5" s="11" t="s">
        <v>340</v>
      </c>
    </row>
    <row r="6" spans="1:4" ht="22" x14ac:dyDescent="0.2">
      <c r="A6" t="s">
        <v>363</v>
      </c>
      <c r="B6" s="10" t="s">
        <v>341</v>
      </c>
    </row>
    <row r="7" spans="1:4" ht="44" x14ac:dyDescent="0.2">
      <c r="A7" t="s">
        <v>364</v>
      </c>
      <c r="B7" s="10" t="s">
        <v>342</v>
      </c>
    </row>
    <row r="8" spans="1:4" ht="44" x14ac:dyDescent="0.2">
      <c r="A8" t="s">
        <v>365</v>
      </c>
      <c r="B8" s="10" t="s">
        <v>343</v>
      </c>
    </row>
    <row r="9" spans="1:4" ht="22" x14ac:dyDescent="0.2">
      <c r="A9" t="s">
        <v>366</v>
      </c>
      <c r="B9" s="10" t="s">
        <v>344</v>
      </c>
    </row>
    <row r="10" spans="1:4" ht="22" x14ac:dyDescent="0.2">
      <c r="A10" t="s">
        <v>367</v>
      </c>
      <c r="B10" s="10" t="s">
        <v>345</v>
      </c>
    </row>
    <row r="11" spans="1:4" ht="22" x14ac:dyDescent="0.2">
      <c r="A11" t="s">
        <v>368</v>
      </c>
      <c r="B11" s="10" t="s">
        <v>346</v>
      </c>
    </row>
    <row r="12" spans="1:4" ht="22" x14ac:dyDescent="0.2">
      <c r="A12" t="s">
        <v>369</v>
      </c>
      <c r="B12" s="10" t="s">
        <v>347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55AC-74CD-0444-9470-A9FAA192F068}">
  <dimension ref="A1:E331"/>
  <sheetViews>
    <sheetView zoomScale="194" workbookViewId="0">
      <selection activeCell="B6" sqref="B6"/>
    </sheetView>
  </sheetViews>
  <sheetFormatPr baseColWidth="10" defaultRowHeight="16" x14ac:dyDescent="0.2"/>
  <cols>
    <col min="1" max="1" width="10.1640625" bestFit="1" customWidth="1"/>
    <col min="2" max="2" width="18.83203125" bestFit="1" customWidth="1"/>
    <col min="3" max="3" width="12.5" bestFit="1" customWidth="1"/>
    <col min="5" max="5" width="12.5" bestFit="1" customWidth="1"/>
  </cols>
  <sheetData>
    <row r="1" spans="1:5" x14ac:dyDescent="0.2">
      <c r="A1" t="s">
        <v>270</v>
      </c>
      <c r="B1" t="s">
        <v>271</v>
      </c>
      <c r="C1" t="s">
        <v>272</v>
      </c>
      <c r="D1" t="s">
        <v>275</v>
      </c>
      <c r="E1" t="s">
        <v>273</v>
      </c>
    </row>
    <row r="2" spans="1:5" ht="17" x14ac:dyDescent="0.2">
      <c r="A2" s="3" t="s">
        <v>280</v>
      </c>
      <c r="B2" s="3" t="s">
        <v>288</v>
      </c>
      <c r="C2" s="4">
        <v>7.95</v>
      </c>
      <c r="D2" s="5">
        <v>1990</v>
      </c>
      <c r="E2" s="4">
        <f t="shared" ref="E2:E65" si="0">C2*D2</f>
        <v>15820.5</v>
      </c>
    </row>
    <row r="3" spans="1:5" ht="17" x14ac:dyDescent="0.2">
      <c r="A3" s="3" t="s">
        <v>279</v>
      </c>
      <c r="B3" s="3" t="s">
        <v>288</v>
      </c>
      <c r="C3" s="4">
        <v>35</v>
      </c>
      <c r="D3" s="5">
        <v>1990</v>
      </c>
      <c r="E3" s="4">
        <f t="shared" si="0"/>
        <v>69650</v>
      </c>
    </row>
    <row r="4" spans="1:5" ht="17" x14ac:dyDescent="0.2">
      <c r="A4" s="3" t="s">
        <v>281</v>
      </c>
      <c r="B4" s="3" t="s">
        <v>288</v>
      </c>
      <c r="C4" s="4">
        <v>16.45</v>
      </c>
      <c r="D4" s="5">
        <v>2160</v>
      </c>
      <c r="E4" s="4">
        <f t="shared" si="0"/>
        <v>35532</v>
      </c>
    </row>
    <row r="5" spans="1:5" ht="17" x14ac:dyDescent="0.2">
      <c r="A5" s="3" t="s">
        <v>282</v>
      </c>
      <c r="B5" s="3" t="s">
        <v>289</v>
      </c>
      <c r="C5" s="4">
        <v>18.195</v>
      </c>
      <c r="D5" s="5">
        <v>4220</v>
      </c>
      <c r="E5" s="4">
        <f t="shared" si="0"/>
        <v>76782.899999999994</v>
      </c>
    </row>
    <row r="6" spans="1:5" ht="17" x14ac:dyDescent="0.2">
      <c r="A6" s="3" t="s">
        <v>279</v>
      </c>
      <c r="B6" s="3" t="s">
        <v>290</v>
      </c>
      <c r="C6" s="4">
        <v>9.26</v>
      </c>
      <c r="D6" s="5">
        <v>2720</v>
      </c>
      <c r="E6" s="4">
        <f t="shared" si="0"/>
        <v>25187.200000000001</v>
      </c>
    </row>
    <row r="7" spans="1:5" ht="17" x14ac:dyDescent="0.2">
      <c r="A7" s="3" t="s">
        <v>279</v>
      </c>
      <c r="B7" s="3" t="s">
        <v>290</v>
      </c>
      <c r="C7" s="4">
        <v>14.5465</v>
      </c>
      <c r="D7" s="5">
        <v>2720</v>
      </c>
      <c r="E7" s="4">
        <f t="shared" si="0"/>
        <v>39566.480000000003</v>
      </c>
    </row>
    <row r="8" spans="1:5" ht="17" x14ac:dyDescent="0.2">
      <c r="A8" s="3" t="s">
        <v>282</v>
      </c>
      <c r="B8" s="3" t="s">
        <v>291</v>
      </c>
      <c r="C8" s="4">
        <v>39.8125</v>
      </c>
      <c r="D8" s="6">
        <v>2830</v>
      </c>
      <c r="E8" s="4">
        <f t="shared" si="0"/>
        <v>112669.375</v>
      </c>
    </row>
    <row r="9" spans="1:5" ht="17" x14ac:dyDescent="0.2">
      <c r="A9" s="3" t="s">
        <v>283</v>
      </c>
      <c r="B9" s="3" t="s">
        <v>292</v>
      </c>
      <c r="C9" s="4">
        <v>19.234000000000002</v>
      </c>
      <c r="D9" s="6">
        <v>3750</v>
      </c>
      <c r="E9" s="4">
        <f t="shared" si="0"/>
        <v>72127.5</v>
      </c>
    </row>
    <row r="10" spans="1:5" ht="17" x14ac:dyDescent="0.2">
      <c r="A10" s="7" t="s">
        <v>282</v>
      </c>
      <c r="B10" s="3" t="s">
        <v>290</v>
      </c>
      <c r="C10" s="4">
        <v>17.861499999999999</v>
      </c>
      <c r="D10" s="8">
        <v>2720</v>
      </c>
      <c r="E10" s="4">
        <f>C10*D10</f>
        <v>48583.28</v>
      </c>
    </row>
    <row r="11" spans="1:5" ht="17" x14ac:dyDescent="0.2">
      <c r="A11" s="7" t="s">
        <v>284</v>
      </c>
      <c r="B11" s="3" t="s">
        <v>290</v>
      </c>
      <c r="C11" s="4">
        <v>24.29</v>
      </c>
      <c r="D11" s="8">
        <v>2720</v>
      </c>
      <c r="E11" s="4">
        <f t="shared" si="0"/>
        <v>66068.800000000003</v>
      </c>
    </row>
    <row r="12" spans="1:5" ht="17" x14ac:dyDescent="0.2">
      <c r="A12" s="7" t="s">
        <v>283</v>
      </c>
      <c r="B12" s="3" t="s">
        <v>293</v>
      </c>
      <c r="C12" s="4">
        <v>30.7715</v>
      </c>
      <c r="D12" s="8">
        <v>3430</v>
      </c>
      <c r="E12" s="4">
        <f t="shared" si="0"/>
        <v>105546.245</v>
      </c>
    </row>
    <row r="13" spans="1:5" ht="17" x14ac:dyDescent="0.2">
      <c r="A13" s="7" t="s">
        <v>282</v>
      </c>
      <c r="B13" s="3" t="s">
        <v>290</v>
      </c>
      <c r="C13" s="4">
        <v>8.8450000000000006</v>
      </c>
      <c r="D13" s="8">
        <v>2720</v>
      </c>
      <c r="E13" s="4">
        <f t="shared" si="0"/>
        <v>24058.400000000001</v>
      </c>
    </row>
    <row r="14" spans="1:5" ht="17" x14ac:dyDescent="0.2">
      <c r="A14" s="7" t="s">
        <v>285</v>
      </c>
      <c r="B14" s="3" t="s">
        <v>290</v>
      </c>
      <c r="C14" s="4">
        <v>10.5</v>
      </c>
      <c r="D14" s="8">
        <v>2720</v>
      </c>
      <c r="E14" s="4">
        <f t="shared" si="0"/>
        <v>28560</v>
      </c>
    </row>
    <row r="15" spans="1:5" ht="17" x14ac:dyDescent="0.2">
      <c r="A15" s="7" t="s">
        <v>282</v>
      </c>
      <c r="B15" s="3" t="s">
        <v>290</v>
      </c>
      <c r="C15" s="4">
        <v>20</v>
      </c>
      <c r="D15" s="8">
        <v>2720</v>
      </c>
      <c r="E15" s="4">
        <f t="shared" si="0"/>
        <v>54400</v>
      </c>
    </row>
    <row r="16" spans="1:5" ht="17" x14ac:dyDescent="0.2">
      <c r="A16" s="7" t="s">
        <v>281</v>
      </c>
      <c r="B16" s="3" t="s">
        <v>294</v>
      </c>
      <c r="C16" s="4">
        <v>29.99</v>
      </c>
      <c r="D16" s="8">
        <v>2330</v>
      </c>
      <c r="E16" s="4">
        <f t="shared" si="0"/>
        <v>69876.7</v>
      </c>
    </row>
    <row r="17" spans="1:5" ht="17" x14ac:dyDescent="0.2">
      <c r="A17" s="7" t="s">
        <v>282</v>
      </c>
      <c r="B17" s="3" t="s">
        <v>294</v>
      </c>
      <c r="C17" s="4">
        <v>14.602499999999999</v>
      </c>
      <c r="D17" s="8">
        <v>2330</v>
      </c>
      <c r="E17" s="4">
        <f t="shared" si="0"/>
        <v>34023.824999999997</v>
      </c>
    </row>
    <row r="18" spans="1:5" ht="17" x14ac:dyDescent="0.2">
      <c r="A18" s="7" t="s">
        <v>283</v>
      </c>
      <c r="B18" s="3" t="s">
        <v>292</v>
      </c>
      <c r="C18" s="4">
        <v>11.397500000000001</v>
      </c>
      <c r="D18" s="9">
        <v>3750</v>
      </c>
      <c r="E18" s="4">
        <f t="shared" si="0"/>
        <v>42740.625</v>
      </c>
    </row>
    <row r="19" spans="1:5" ht="17" x14ac:dyDescent="0.2">
      <c r="A19" s="7" t="s">
        <v>283</v>
      </c>
      <c r="B19" s="3" t="s">
        <v>292</v>
      </c>
      <c r="C19" s="4">
        <v>7</v>
      </c>
      <c r="D19" s="9">
        <v>3750</v>
      </c>
      <c r="E19" s="4">
        <f t="shared" si="0"/>
        <v>26250</v>
      </c>
    </row>
    <row r="20" spans="1:5" ht="17" x14ac:dyDescent="0.2">
      <c r="A20" s="7" t="s">
        <v>282</v>
      </c>
      <c r="B20" s="3" t="s">
        <v>290</v>
      </c>
      <c r="C20" s="4">
        <v>15.9</v>
      </c>
      <c r="D20" s="9">
        <v>2720</v>
      </c>
      <c r="E20" s="4">
        <f t="shared" si="0"/>
        <v>43248</v>
      </c>
    </row>
    <row r="21" spans="1:5" ht="17" x14ac:dyDescent="0.2">
      <c r="A21" s="7" t="s">
        <v>283</v>
      </c>
      <c r="B21" s="3" t="s">
        <v>293</v>
      </c>
      <c r="C21" s="4">
        <v>7.3555000000000001</v>
      </c>
      <c r="D21" s="9">
        <v>3480</v>
      </c>
      <c r="E21" s="4">
        <f t="shared" si="0"/>
        <v>25597.14</v>
      </c>
    </row>
    <row r="22" spans="1:5" ht="17" x14ac:dyDescent="0.2">
      <c r="A22" s="7" t="s">
        <v>283</v>
      </c>
      <c r="B22" s="3" t="s">
        <v>293</v>
      </c>
      <c r="C22" s="4">
        <v>3.5985</v>
      </c>
      <c r="D22" s="9">
        <v>3480</v>
      </c>
      <c r="E22" s="4">
        <f t="shared" si="0"/>
        <v>12522.78</v>
      </c>
    </row>
    <row r="23" spans="1:5" ht="17" x14ac:dyDescent="0.2">
      <c r="A23" s="7" t="s">
        <v>283</v>
      </c>
      <c r="B23" s="3" t="s">
        <v>293</v>
      </c>
      <c r="C23" s="4">
        <v>13.05</v>
      </c>
      <c r="D23" s="9">
        <v>3480</v>
      </c>
      <c r="E23" s="4">
        <f t="shared" si="0"/>
        <v>45414</v>
      </c>
    </row>
    <row r="24" spans="1:5" ht="17" x14ac:dyDescent="0.2">
      <c r="A24" s="7" t="s">
        <v>283</v>
      </c>
      <c r="B24" s="3" t="s">
        <v>292</v>
      </c>
      <c r="C24" s="4">
        <v>11.984999999999999</v>
      </c>
      <c r="D24" s="9">
        <v>3750</v>
      </c>
      <c r="E24" s="4">
        <f t="shared" si="0"/>
        <v>44943.75</v>
      </c>
    </row>
    <row r="25" spans="1:5" ht="17" x14ac:dyDescent="0.2">
      <c r="A25" s="7" t="s">
        <v>286</v>
      </c>
      <c r="B25" s="3" t="s">
        <v>292</v>
      </c>
      <c r="C25" s="4">
        <v>6.298</v>
      </c>
      <c r="D25" s="9">
        <v>3750</v>
      </c>
      <c r="E25" s="4">
        <f t="shared" si="0"/>
        <v>23617.5</v>
      </c>
    </row>
    <row r="26" spans="1:5" ht="17" x14ac:dyDescent="0.2">
      <c r="A26" s="3" t="s">
        <v>283</v>
      </c>
      <c r="B26" s="3" t="s">
        <v>295</v>
      </c>
      <c r="C26" s="4">
        <v>17.487500000000001</v>
      </c>
      <c r="D26" s="9">
        <v>5010</v>
      </c>
      <c r="E26" s="4">
        <f t="shared" si="0"/>
        <v>87612.375</v>
      </c>
    </row>
    <row r="27" spans="1:5" ht="17" x14ac:dyDescent="0.2">
      <c r="A27" s="3" t="s">
        <v>283</v>
      </c>
      <c r="B27" s="3" t="s">
        <v>293</v>
      </c>
      <c r="C27" s="4">
        <v>16.567499999999999</v>
      </c>
      <c r="D27" s="9">
        <v>3480</v>
      </c>
      <c r="E27" s="4">
        <f t="shared" si="0"/>
        <v>57654.899999999994</v>
      </c>
    </row>
    <row r="28" spans="1:5" ht="17" x14ac:dyDescent="0.2">
      <c r="A28" s="3" t="s">
        <v>279</v>
      </c>
      <c r="B28" s="3" t="s">
        <v>288</v>
      </c>
      <c r="C28" s="4">
        <v>19.95</v>
      </c>
      <c r="D28" s="9">
        <v>2090</v>
      </c>
      <c r="E28" s="4">
        <f t="shared" si="0"/>
        <v>41695.5</v>
      </c>
    </row>
    <row r="29" spans="1:5" ht="17" x14ac:dyDescent="0.2">
      <c r="A29" s="7" t="s">
        <v>282</v>
      </c>
      <c r="B29" s="3" t="s">
        <v>296</v>
      </c>
      <c r="C29" s="4">
        <v>15.92</v>
      </c>
      <c r="D29" s="9">
        <v>2200</v>
      </c>
      <c r="E29" s="4">
        <f t="shared" si="0"/>
        <v>35024</v>
      </c>
    </row>
    <row r="30" spans="1:5" ht="17" x14ac:dyDescent="0.2">
      <c r="A30" s="7" t="s">
        <v>287</v>
      </c>
      <c r="B30" s="3" t="s">
        <v>288</v>
      </c>
      <c r="C30" s="4">
        <v>6.0949999999999998</v>
      </c>
      <c r="D30" s="9">
        <v>1990</v>
      </c>
      <c r="E30" s="4">
        <f t="shared" si="0"/>
        <v>12129.05</v>
      </c>
    </row>
    <row r="31" spans="1:5" ht="17" x14ac:dyDescent="0.2">
      <c r="A31" s="7" t="s">
        <v>287</v>
      </c>
      <c r="B31" s="3" t="s">
        <v>288</v>
      </c>
      <c r="C31" s="4">
        <v>14.108499999999999</v>
      </c>
      <c r="D31" s="9">
        <v>1990</v>
      </c>
      <c r="E31" s="4">
        <f t="shared" si="0"/>
        <v>28075.914999999997</v>
      </c>
    </row>
    <row r="32" spans="1:5" ht="17" x14ac:dyDescent="0.2">
      <c r="A32" s="7" t="s">
        <v>287</v>
      </c>
      <c r="B32" s="3" t="s">
        <v>288</v>
      </c>
      <c r="C32" s="4">
        <v>20.245999999999999</v>
      </c>
      <c r="D32" s="9">
        <v>1990</v>
      </c>
      <c r="E32" s="4">
        <f t="shared" si="0"/>
        <v>40289.54</v>
      </c>
    </row>
    <row r="33" spans="1:5" ht="17" x14ac:dyDescent="0.2">
      <c r="A33" s="7" t="s">
        <v>287</v>
      </c>
      <c r="B33" s="3" t="s">
        <v>288</v>
      </c>
      <c r="C33" s="4">
        <v>1.82</v>
      </c>
      <c r="D33" s="9">
        <v>1990</v>
      </c>
      <c r="E33" s="4">
        <f t="shared" si="0"/>
        <v>3621.8</v>
      </c>
    </row>
    <row r="34" spans="1:5" ht="17" x14ac:dyDescent="0.2">
      <c r="A34" s="13" t="s">
        <v>283</v>
      </c>
      <c r="B34" s="13" t="s">
        <v>297</v>
      </c>
      <c r="C34" s="4">
        <v>21.995999999999999</v>
      </c>
      <c r="D34" s="14">
        <v>2940</v>
      </c>
      <c r="E34" s="4">
        <f t="shared" si="0"/>
        <v>64668.24</v>
      </c>
    </row>
    <row r="35" spans="1:5" ht="17" x14ac:dyDescent="0.2">
      <c r="A35" s="13" t="s">
        <v>279</v>
      </c>
      <c r="B35" s="15" t="s">
        <v>290</v>
      </c>
      <c r="C35" s="4">
        <v>20.37</v>
      </c>
      <c r="D35" s="16">
        <v>2720</v>
      </c>
      <c r="E35" s="4">
        <f t="shared" si="0"/>
        <v>55406.400000000001</v>
      </c>
    </row>
    <row r="36" spans="1:5" ht="17" x14ac:dyDescent="0.2">
      <c r="A36" s="13" t="s">
        <v>281</v>
      </c>
      <c r="B36" s="15" t="s">
        <v>298</v>
      </c>
      <c r="C36" s="4">
        <v>14.23</v>
      </c>
      <c r="D36" s="16">
        <v>2770</v>
      </c>
      <c r="E36" s="4">
        <f t="shared" si="0"/>
        <v>39417.1</v>
      </c>
    </row>
    <row r="37" spans="1:5" ht="17" x14ac:dyDescent="0.2">
      <c r="A37" s="13" t="s">
        <v>282</v>
      </c>
      <c r="B37" s="15" t="s">
        <v>289</v>
      </c>
      <c r="C37" s="4">
        <v>18.080500000000001</v>
      </c>
      <c r="D37" s="16">
        <v>4220</v>
      </c>
      <c r="E37" s="4">
        <f t="shared" si="0"/>
        <v>76299.710000000006</v>
      </c>
    </row>
    <row r="38" spans="1:5" ht="17" x14ac:dyDescent="0.2">
      <c r="A38" s="13" t="s">
        <v>279</v>
      </c>
      <c r="B38" s="15" t="s">
        <v>290</v>
      </c>
      <c r="C38" s="4">
        <v>15.33</v>
      </c>
      <c r="D38" s="16">
        <v>2720</v>
      </c>
      <c r="E38" s="4">
        <f t="shared" si="0"/>
        <v>41697.599999999999</v>
      </c>
    </row>
    <row r="39" spans="1:5" ht="17" x14ac:dyDescent="0.2">
      <c r="A39" s="13" t="s">
        <v>299</v>
      </c>
      <c r="B39" s="13" t="s">
        <v>306</v>
      </c>
      <c r="C39" s="17">
        <v>19.411000000000001</v>
      </c>
      <c r="D39" s="14">
        <v>5500</v>
      </c>
      <c r="E39" s="4">
        <f t="shared" si="0"/>
        <v>106760.50000000001</v>
      </c>
    </row>
    <row r="40" spans="1:5" ht="17" x14ac:dyDescent="0.2">
      <c r="A40" s="13" t="s">
        <v>299</v>
      </c>
      <c r="B40" s="13" t="s">
        <v>291</v>
      </c>
      <c r="C40" s="17">
        <v>18.5975</v>
      </c>
      <c r="D40" s="14">
        <v>2930</v>
      </c>
      <c r="E40" s="4">
        <f t="shared" si="0"/>
        <v>54490.675000000003</v>
      </c>
    </row>
    <row r="41" spans="1:5" ht="17" x14ac:dyDescent="0.2">
      <c r="A41" s="13" t="s">
        <v>282</v>
      </c>
      <c r="B41" s="13" t="s">
        <v>291</v>
      </c>
      <c r="C41" s="17">
        <v>16.342500000000001</v>
      </c>
      <c r="D41" s="14">
        <v>2930</v>
      </c>
      <c r="E41" s="4">
        <f t="shared" si="0"/>
        <v>47883.525000000001</v>
      </c>
    </row>
    <row r="42" spans="1:5" ht="17" x14ac:dyDescent="0.2">
      <c r="A42" s="13" t="s">
        <v>300</v>
      </c>
      <c r="B42" s="13" t="s">
        <v>290</v>
      </c>
      <c r="C42" s="17">
        <v>18.463000000000001</v>
      </c>
      <c r="D42" s="14">
        <v>2720</v>
      </c>
      <c r="E42" s="4">
        <f t="shared" si="0"/>
        <v>50219.360000000001</v>
      </c>
    </row>
    <row r="43" spans="1:5" ht="17" x14ac:dyDescent="0.2">
      <c r="A43" s="13" t="s">
        <v>282</v>
      </c>
      <c r="B43" s="13" t="s">
        <v>290</v>
      </c>
      <c r="C43" s="17">
        <v>16.145</v>
      </c>
      <c r="D43" s="14">
        <v>2820</v>
      </c>
      <c r="E43" s="4">
        <f t="shared" si="0"/>
        <v>45528.9</v>
      </c>
    </row>
    <row r="44" spans="1:5" ht="17" x14ac:dyDescent="0.2">
      <c r="A44" s="13" t="s">
        <v>301</v>
      </c>
      <c r="B44" s="13" t="s">
        <v>307</v>
      </c>
      <c r="C44" s="17">
        <v>5.0350000000000001</v>
      </c>
      <c r="D44" s="14">
        <v>2880</v>
      </c>
      <c r="E44" s="4">
        <f t="shared" si="0"/>
        <v>14500.800000000001</v>
      </c>
    </row>
    <row r="45" spans="1:5" ht="17" x14ac:dyDescent="0.2">
      <c r="A45" s="13" t="s">
        <v>282</v>
      </c>
      <c r="B45" s="13" t="s">
        <v>294</v>
      </c>
      <c r="C45" s="17">
        <v>20.625</v>
      </c>
      <c r="D45" s="14">
        <v>2560</v>
      </c>
      <c r="E45" s="4">
        <f t="shared" si="0"/>
        <v>52800</v>
      </c>
    </row>
    <row r="46" spans="1:5" ht="17" x14ac:dyDescent="0.2">
      <c r="A46" s="13" t="s">
        <v>302</v>
      </c>
      <c r="B46" s="13" t="s">
        <v>308</v>
      </c>
      <c r="C46" s="17">
        <v>10.81</v>
      </c>
      <c r="D46" s="14">
        <v>2880</v>
      </c>
      <c r="E46" s="4">
        <f t="shared" si="0"/>
        <v>31132.800000000003</v>
      </c>
    </row>
    <row r="47" spans="1:5" ht="17" x14ac:dyDescent="0.2">
      <c r="A47" s="18" t="s">
        <v>282</v>
      </c>
      <c r="B47" s="13" t="s">
        <v>309</v>
      </c>
      <c r="C47" s="17">
        <v>26.085000000000001</v>
      </c>
      <c r="D47" s="19">
        <v>2890</v>
      </c>
      <c r="E47" s="4">
        <f t="shared" si="0"/>
        <v>75385.650000000009</v>
      </c>
    </row>
    <row r="48" spans="1:5" ht="17" x14ac:dyDescent="0.2">
      <c r="A48" s="18" t="s">
        <v>302</v>
      </c>
      <c r="B48" s="13" t="s">
        <v>291</v>
      </c>
      <c r="C48" s="17">
        <v>34.851999999999997</v>
      </c>
      <c r="D48" s="19">
        <v>2830</v>
      </c>
      <c r="E48" s="4">
        <f t="shared" si="0"/>
        <v>98631.159999999989</v>
      </c>
    </row>
    <row r="49" spans="1:5" ht="17" x14ac:dyDescent="0.2">
      <c r="A49" s="18" t="s">
        <v>282</v>
      </c>
      <c r="B49" s="13" t="s">
        <v>291</v>
      </c>
      <c r="C49" s="17">
        <v>12.005000000000001</v>
      </c>
      <c r="D49" s="19">
        <v>2830</v>
      </c>
      <c r="E49" s="4">
        <f t="shared" si="0"/>
        <v>33974.15</v>
      </c>
    </row>
    <row r="50" spans="1:5" ht="17" x14ac:dyDescent="0.2">
      <c r="A50" s="18" t="s">
        <v>282</v>
      </c>
      <c r="B50" s="13" t="s">
        <v>291</v>
      </c>
      <c r="C50" s="17">
        <v>30.503</v>
      </c>
      <c r="D50" s="19">
        <v>2830</v>
      </c>
      <c r="E50" s="4">
        <f t="shared" si="0"/>
        <v>86323.49</v>
      </c>
    </row>
    <row r="51" spans="1:5" ht="17" x14ac:dyDescent="0.2">
      <c r="A51" s="18" t="s">
        <v>279</v>
      </c>
      <c r="B51" s="13" t="s">
        <v>310</v>
      </c>
      <c r="C51" s="17">
        <v>15.18</v>
      </c>
      <c r="D51" s="8">
        <v>1320</v>
      </c>
      <c r="E51" s="4">
        <f t="shared" si="0"/>
        <v>20037.599999999999</v>
      </c>
    </row>
    <row r="52" spans="1:5" ht="17" x14ac:dyDescent="0.2">
      <c r="A52" s="18" t="s">
        <v>279</v>
      </c>
      <c r="B52" s="13" t="s">
        <v>310</v>
      </c>
      <c r="C52" s="17">
        <v>7</v>
      </c>
      <c r="D52" s="8">
        <v>1320</v>
      </c>
      <c r="E52" s="4">
        <f t="shared" si="0"/>
        <v>9240</v>
      </c>
    </row>
    <row r="53" spans="1:5" ht="17" x14ac:dyDescent="0.2">
      <c r="A53" s="18" t="s">
        <v>279</v>
      </c>
      <c r="B53" s="13" t="s">
        <v>290</v>
      </c>
      <c r="C53" s="17">
        <v>19.850000000000001</v>
      </c>
      <c r="D53" s="8">
        <v>2720</v>
      </c>
      <c r="E53" s="4">
        <f t="shared" si="0"/>
        <v>53992.000000000007</v>
      </c>
    </row>
    <row r="54" spans="1:5" ht="17" x14ac:dyDescent="0.2">
      <c r="A54" s="18" t="s">
        <v>279</v>
      </c>
      <c r="B54" s="13" t="s">
        <v>290</v>
      </c>
      <c r="C54" s="17">
        <v>17.2285</v>
      </c>
      <c r="D54" s="8">
        <v>2720</v>
      </c>
      <c r="E54" s="4">
        <f t="shared" si="0"/>
        <v>46861.520000000004</v>
      </c>
    </row>
    <row r="55" spans="1:5" ht="17" x14ac:dyDescent="0.2">
      <c r="A55" s="18" t="s">
        <v>279</v>
      </c>
      <c r="B55" s="13" t="s">
        <v>290</v>
      </c>
      <c r="C55" s="17">
        <v>5.3</v>
      </c>
      <c r="D55" s="8">
        <v>2720</v>
      </c>
      <c r="E55" s="4">
        <f t="shared" si="0"/>
        <v>14416</v>
      </c>
    </row>
    <row r="56" spans="1:5" ht="17" x14ac:dyDescent="0.2">
      <c r="A56" s="18" t="s">
        <v>282</v>
      </c>
      <c r="B56" s="13" t="s">
        <v>291</v>
      </c>
      <c r="C56" s="17">
        <v>5.98</v>
      </c>
      <c r="D56" s="9">
        <v>2830</v>
      </c>
      <c r="E56" s="4">
        <f t="shared" si="0"/>
        <v>16923.400000000001</v>
      </c>
    </row>
    <row r="57" spans="1:5" ht="17" x14ac:dyDescent="0.2">
      <c r="A57" s="18" t="s">
        <v>302</v>
      </c>
      <c r="B57" s="13" t="s">
        <v>291</v>
      </c>
      <c r="C57" s="17">
        <v>32.6</v>
      </c>
      <c r="D57" s="9">
        <v>2830</v>
      </c>
      <c r="E57" s="4">
        <f t="shared" si="0"/>
        <v>92258</v>
      </c>
    </row>
    <row r="58" spans="1:5" ht="17" x14ac:dyDescent="0.2">
      <c r="A58" s="18" t="s">
        <v>283</v>
      </c>
      <c r="B58" s="13" t="s">
        <v>292</v>
      </c>
      <c r="C58" s="17">
        <v>7.1675000000000004</v>
      </c>
      <c r="D58" s="9">
        <v>3750</v>
      </c>
      <c r="E58" s="4">
        <f t="shared" si="0"/>
        <v>26878.125</v>
      </c>
    </row>
    <row r="59" spans="1:5" ht="17" x14ac:dyDescent="0.2">
      <c r="A59" s="18" t="s">
        <v>283</v>
      </c>
      <c r="B59" s="13" t="s">
        <v>292</v>
      </c>
      <c r="C59" s="17">
        <v>11.23</v>
      </c>
      <c r="D59" s="9">
        <v>3750</v>
      </c>
      <c r="E59" s="4">
        <f t="shared" si="0"/>
        <v>42112.5</v>
      </c>
    </row>
    <row r="60" spans="1:5" ht="17" x14ac:dyDescent="0.2">
      <c r="A60" s="18" t="s">
        <v>282</v>
      </c>
      <c r="B60" s="13" t="s">
        <v>290</v>
      </c>
      <c r="C60" s="17">
        <v>18.074999999999999</v>
      </c>
      <c r="D60" s="9">
        <v>2720</v>
      </c>
      <c r="E60" s="4">
        <f t="shared" si="0"/>
        <v>49164</v>
      </c>
    </row>
    <row r="61" spans="1:5" ht="17" x14ac:dyDescent="0.2">
      <c r="A61" s="18" t="s">
        <v>303</v>
      </c>
      <c r="B61" s="13" t="s">
        <v>288</v>
      </c>
      <c r="C61" s="17">
        <v>32.774000000000001</v>
      </c>
      <c r="D61" s="9">
        <v>1990</v>
      </c>
      <c r="E61" s="4">
        <f t="shared" si="0"/>
        <v>65220.26</v>
      </c>
    </row>
    <row r="62" spans="1:5" ht="17" x14ac:dyDescent="0.2">
      <c r="A62" s="18" t="s">
        <v>280</v>
      </c>
      <c r="B62" s="13" t="s">
        <v>290</v>
      </c>
      <c r="C62" s="17">
        <v>24.5</v>
      </c>
      <c r="D62" s="9">
        <v>2720</v>
      </c>
      <c r="E62" s="4">
        <f t="shared" si="0"/>
        <v>66640</v>
      </c>
    </row>
    <row r="63" spans="1:5" ht="17" x14ac:dyDescent="0.2">
      <c r="A63" s="13" t="s">
        <v>279</v>
      </c>
      <c r="B63" s="13" t="s">
        <v>290</v>
      </c>
      <c r="C63" s="17">
        <v>7.0735000000000001</v>
      </c>
      <c r="D63" s="9">
        <v>2820</v>
      </c>
      <c r="E63" s="4">
        <f t="shared" si="0"/>
        <v>19947.27</v>
      </c>
    </row>
    <row r="64" spans="1:5" ht="17" x14ac:dyDescent="0.2">
      <c r="A64" s="13" t="s">
        <v>279</v>
      </c>
      <c r="B64" s="13" t="s">
        <v>290</v>
      </c>
      <c r="C64" s="17">
        <v>13.015499999999999</v>
      </c>
      <c r="D64" s="9">
        <v>2820</v>
      </c>
      <c r="E64" s="4">
        <f t="shared" si="0"/>
        <v>36703.71</v>
      </c>
    </row>
    <row r="65" spans="1:5" ht="17" x14ac:dyDescent="0.2">
      <c r="A65" s="13" t="s">
        <v>282</v>
      </c>
      <c r="B65" s="13" t="s">
        <v>291</v>
      </c>
      <c r="C65" s="17">
        <v>26.516999999999999</v>
      </c>
      <c r="D65" s="9">
        <v>2830</v>
      </c>
      <c r="E65" s="4">
        <f t="shared" si="0"/>
        <v>75043.11</v>
      </c>
    </row>
    <row r="66" spans="1:5" ht="17" x14ac:dyDescent="0.2">
      <c r="A66" s="18" t="s">
        <v>304</v>
      </c>
      <c r="B66" s="13" t="s">
        <v>291</v>
      </c>
      <c r="C66" s="17">
        <v>16.45</v>
      </c>
      <c r="D66" s="9">
        <v>2830</v>
      </c>
      <c r="E66" s="4">
        <f t="shared" ref="E66:E77" si="1">C66*D66</f>
        <v>46553.5</v>
      </c>
    </row>
    <row r="67" spans="1:5" ht="17" x14ac:dyDescent="0.2">
      <c r="A67" s="18" t="s">
        <v>280</v>
      </c>
      <c r="B67" s="13" t="s">
        <v>288</v>
      </c>
      <c r="C67" s="17">
        <v>32.628500000000003</v>
      </c>
      <c r="D67" s="9">
        <v>1990</v>
      </c>
      <c r="E67" s="4">
        <f t="shared" si="1"/>
        <v>64930.715000000004</v>
      </c>
    </row>
    <row r="68" spans="1:5" ht="17" x14ac:dyDescent="0.2">
      <c r="A68" s="18" t="s">
        <v>280</v>
      </c>
      <c r="B68" s="13" t="s">
        <v>288</v>
      </c>
      <c r="C68" s="17">
        <v>16.975000000000001</v>
      </c>
      <c r="D68" s="9">
        <v>2160</v>
      </c>
      <c r="E68" s="4">
        <f t="shared" si="1"/>
        <v>36666</v>
      </c>
    </row>
    <row r="69" spans="1:5" ht="17" x14ac:dyDescent="0.2">
      <c r="A69" s="18" t="s">
        <v>280</v>
      </c>
      <c r="B69" s="13" t="s">
        <v>288</v>
      </c>
      <c r="C69" s="17">
        <v>6.101</v>
      </c>
      <c r="D69" s="9">
        <v>2160</v>
      </c>
      <c r="E69" s="4">
        <f t="shared" si="1"/>
        <v>13178.16</v>
      </c>
    </row>
    <row r="70" spans="1:5" ht="17" x14ac:dyDescent="0.2">
      <c r="A70" s="18" t="s">
        <v>304</v>
      </c>
      <c r="B70" s="13" t="s">
        <v>311</v>
      </c>
      <c r="C70" s="17">
        <v>17.225000000000001</v>
      </c>
      <c r="D70" s="9">
        <v>3680</v>
      </c>
      <c r="E70" s="4">
        <f t="shared" si="1"/>
        <v>63388.000000000007</v>
      </c>
    </row>
    <row r="71" spans="1:5" ht="17" x14ac:dyDescent="0.2">
      <c r="A71" s="18" t="s">
        <v>305</v>
      </c>
      <c r="B71" s="13" t="s">
        <v>311</v>
      </c>
      <c r="C71" s="17">
        <v>19.736999999999998</v>
      </c>
      <c r="D71" s="9">
        <v>3680</v>
      </c>
      <c r="E71" s="4">
        <f t="shared" si="1"/>
        <v>72632.159999999989</v>
      </c>
    </row>
    <row r="72" spans="1:5" ht="17" x14ac:dyDescent="0.2">
      <c r="A72" s="18" t="s">
        <v>299</v>
      </c>
      <c r="B72" s="13" t="s">
        <v>312</v>
      </c>
      <c r="C72" s="17">
        <v>24.324999999999999</v>
      </c>
      <c r="D72" s="9">
        <v>3260</v>
      </c>
      <c r="E72" s="4">
        <f t="shared" si="1"/>
        <v>79299.5</v>
      </c>
    </row>
    <row r="73" spans="1:5" ht="17" x14ac:dyDescent="0.2">
      <c r="A73" s="18" t="s">
        <v>305</v>
      </c>
      <c r="B73" s="13" t="s">
        <v>313</v>
      </c>
      <c r="C73" s="17">
        <v>11.603</v>
      </c>
      <c r="D73" s="13">
        <v>3260</v>
      </c>
      <c r="E73" s="4">
        <f t="shared" si="1"/>
        <v>37825.78</v>
      </c>
    </row>
    <row r="74" spans="1:5" ht="17" x14ac:dyDescent="0.2">
      <c r="A74" s="18" t="s">
        <v>279</v>
      </c>
      <c r="B74" s="20" t="s">
        <v>314</v>
      </c>
      <c r="C74" s="17">
        <v>11.2575</v>
      </c>
      <c r="D74" s="13">
        <v>2140</v>
      </c>
      <c r="E74" s="4">
        <f t="shared" si="1"/>
        <v>24091.05</v>
      </c>
    </row>
    <row r="75" spans="1:5" ht="17" x14ac:dyDescent="0.2">
      <c r="A75" s="18" t="s">
        <v>279</v>
      </c>
      <c r="B75" s="20" t="s">
        <v>314</v>
      </c>
      <c r="C75" s="17">
        <v>15.7325</v>
      </c>
      <c r="D75" s="13">
        <v>2140</v>
      </c>
      <c r="E75" s="4">
        <f t="shared" si="1"/>
        <v>33667.550000000003</v>
      </c>
    </row>
    <row r="76" spans="1:5" ht="17" x14ac:dyDescent="0.2">
      <c r="A76" s="18" t="s">
        <v>282</v>
      </c>
      <c r="B76" s="13" t="s">
        <v>315</v>
      </c>
      <c r="C76" s="17">
        <v>11.75</v>
      </c>
      <c r="D76" s="13">
        <v>3790</v>
      </c>
      <c r="E76" s="4">
        <f t="shared" si="1"/>
        <v>44532.5</v>
      </c>
    </row>
    <row r="77" spans="1:5" ht="17" x14ac:dyDescent="0.2">
      <c r="A77" s="18" t="s">
        <v>282</v>
      </c>
      <c r="B77" s="13" t="s">
        <v>292</v>
      </c>
      <c r="C77" s="17">
        <v>7.1204999999999998</v>
      </c>
      <c r="D77" s="13">
        <v>3850</v>
      </c>
      <c r="E77" s="4">
        <f t="shared" si="1"/>
        <v>27413.924999999999</v>
      </c>
    </row>
    <row r="78" spans="1:5" ht="17" x14ac:dyDescent="0.2">
      <c r="A78" s="21" t="s">
        <v>301</v>
      </c>
      <c r="B78" s="21" t="s">
        <v>307</v>
      </c>
      <c r="C78" s="4">
        <v>14.51</v>
      </c>
      <c r="D78" s="4">
        <v>2780</v>
      </c>
      <c r="E78" s="4">
        <v>40344.75</v>
      </c>
    </row>
    <row r="79" spans="1:5" ht="17" x14ac:dyDescent="0.2">
      <c r="A79" s="22" t="s">
        <v>301</v>
      </c>
      <c r="B79" s="22" t="s">
        <v>307</v>
      </c>
      <c r="C79" s="4">
        <v>7.88</v>
      </c>
      <c r="D79" s="4">
        <v>2780</v>
      </c>
      <c r="E79" s="4">
        <v>21892.5</v>
      </c>
    </row>
    <row r="80" spans="1:5" ht="17" x14ac:dyDescent="0.2">
      <c r="A80" s="22" t="s">
        <v>281</v>
      </c>
      <c r="B80" s="22" t="s">
        <v>290</v>
      </c>
      <c r="C80" s="23">
        <v>20.2</v>
      </c>
      <c r="D80" s="23">
        <v>2720</v>
      </c>
      <c r="E80" s="23">
        <v>54949.440000000002</v>
      </c>
    </row>
    <row r="81" spans="1:5" ht="17" x14ac:dyDescent="0.2">
      <c r="A81" s="22" t="s">
        <v>301</v>
      </c>
      <c r="B81" s="22" t="s">
        <v>307</v>
      </c>
      <c r="C81" s="23">
        <v>20.25</v>
      </c>
      <c r="D81" s="23">
        <v>2780</v>
      </c>
      <c r="E81" s="23">
        <v>56295</v>
      </c>
    </row>
    <row r="82" spans="1:5" ht="17" x14ac:dyDescent="0.2">
      <c r="A82" s="22" t="s">
        <v>301</v>
      </c>
      <c r="B82" s="22" t="s">
        <v>307</v>
      </c>
      <c r="C82" s="23">
        <v>18.309999999999999</v>
      </c>
      <c r="D82" s="23">
        <v>2780</v>
      </c>
      <c r="E82" s="23">
        <v>50887.9</v>
      </c>
    </row>
    <row r="83" spans="1:5" ht="17" x14ac:dyDescent="0.2">
      <c r="A83" s="22" t="s">
        <v>301</v>
      </c>
      <c r="B83" s="22" t="s">
        <v>307</v>
      </c>
      <c r="C83" s="23">
        <v>23.34</v>
      </c>
      <c r="D83" s="23">
        <v>2780</v>
      </c>
      <c r="E83" s="23">
        <v>64878.25</v>
      </c>
    </row>
    <row r="84" spans="1:5" ht="17" x14ac:dyDescent="0.2">
      <c r="A84" s="22" t="s">
        <v>279</v>
      </c>
      <c r="B84" s="22" t="s">
        <v>290</v>
      </c>
      <c r="C84" s="23">
        <v>24.98</v>
      </c>
      <c r="D84" s="23">
        <v>2720</v>
      </c>
      <c r="E84" s="23">
        <v>67952.399999999994</v>
      </c>
    </row>
    <row r="85" spans="1:5" ht="17" x14ac:dyDescent="0.2">
      <c r="A85" s="22" t="s">
        <v>299</v>
      </c>
      <c r="B85" s="22" t="s">
        <v>291</v>
      </c>
      <c r="C85" s="23">
        <v>14.53</v>
      </c>
      <c r="D85" s="23">
        <v>2830</v>
      </c>
      <c r="E85" s="23">
        <v>41105.75</v>
      </c>
    </row>
    <row r="86" spans="1:5" ht="17" x14ac:dyDescent="0.2">
      <c r="A86" s="24" t="s">
        <v>282</v>
      </c>
      <c r="B86" s="22" t="s">
        <v>291</v>
      </c>
      <c r="C86" s="23">
        <v>23.6</v>
      </c>
      <c r="D86" s="23">
        <v>2830</v>
      </c>
      <c r="E86" s="23">
        <v>66773.850000000006</v>
      </c>
    </row>
    <row r="87" spans="1:5" ht="17" x14ac:dyDescent="0.2">
      <c r="A87" s="24" t="s">
        <v>281</v>
      </c>
      <c r="B87" s="22" t="s">
        <v>290</v>
      </c>
      <c r="C87" s="23">
        <v>8.7899999999999991</v>
      </c>
      <c r="D87" s="23">
        <v>2820</v>
      </c>
      <c r="E87" s="23">
        <v>24782.16</v>
      </c>
    </row>
    <row r="88" spans="1:5" ht="17" x14ac:dyDescent="0.2">
      <c r="A88" s="24" t="s">
        <v>282</v>
      </c>
      <c r="B88" s="22" t="s">
        <v>290</v>
      </c>
      <c r="C88" s="23">
        <v>10.26</v>
      </c>
      <c r="D88" s="23">
        <v>2820</v>
      </c>
      <c r="E88" s="23">
        <v>28919.1</v>
      </c>
    </row>
    <row r="89" spans="1:5" ht="17" x14ac:dyDescent="0.2">
      <c r="A89" s="24" t="s">
        <v>351</v>
      </c>
      <c r="B89" s="22" t="s">
        <v>308</v>
      </c>
      <c r="C89" s="23">
        <v>8.9499999999999993</v>
      </c>
      <c r="D89" s="23">
        <v>2980</v>
      </c>
      <c r="E89" s="23">
        <v>26671</v>
      </c>
    </row>
    <row r="90" spans="1:5" ht="17" x14ac:dyDescent="0.2">
      <c r="A90" s="24" t="s">
        <v>282</v>
      </c>
      <c r="B90" s="22" t="s">
        <v>308</v>
      </c>
      <c r="C90" s="23">
        <v>9.82</v>
      </c>
      <c r="D90" s="23">
        <v>2980</v>
      </c>
      <c r="E90" s="23">
        <v>29248.7</v>
      </c>
    </row>
    <row r="91" spans="1:5" ht="17" x14ac:dyDescent="0.2">
      <c r="A91" s="24" t="s">
        <v>282</v>
      </c>
      <c r="B91" s="22" t="s">
        <v>352</v>
      </c>
      <c r="C91" s="23">
        <v>4.7300000000000004</v>
      </c>
      <c r="D91" s="23">
        <v>1400</v>
      </c>
      <c r="E91" s="23">
        <v>6622</v>
      </c>
    </row>
    <row r="92" spans="1:5" ht="17" x14ac:dyDescent="0.2">
      <c r="A92" s="24" t="s">
        <v>281</v>
      </c>
      <c r="B92" s="22" t="s">
        <v>352</v>
      </c>
      <c r="C92" s="23">
        <v>15.26</v>
      </c>
      <c r="D92" s="23">
        <v>1400</v>
      </c>
      <c r="E92" s="23">
        <v>21360.5</v>
      </c>
    </row>
    <row r="93" spans="1:5" ht="17" x14ac:dyDescent="0.2">
      <c r="A93" s="24" t="s">
        <v>281</v>
      </c>
      <c r="B93" s="22" t="s">
        <v>353</v>
      </c>
      <c r="C93" s="23">
        <v>19.75</v>
      </c>
      <c r="D93" s="23">
        <v>1630</v>
      </c>
      <c r="E93" s="23">
        <v>32188.43</v>
      </c>
    </row>
    <row r="94" spans="1:5" ht="17" x14ac:dyDescent="0.2">
      <c r="A94" s="24" t="s">
        <v>279</v>
      </c>
      <c r="B94" s="22" t="s">
        <v>290</v>
      </c>
      <c r="C94" s="23">
        <v>10.4</v>
      </c>
      <c r="D94" s="23">
        <v>2820</v>
      </c>
      <c r="E94" s="23">
        <v>29313.9</v>
      </c>
    </row>
    <row r="95" spans="1:5" ht="17" x14ac:dyDescent="0.2">
      <c r="A95" s="24" t="s">
        <v>301</v>
      </c>
      <c r="B95" s="22" t="s">
        <v>307</v>
      </c>
      <c r="C95" s="23">
        <v>4.83</v>
      </c>
      <c r="D95" s="23">
        <v>2880</v>
      </c>
      <c r="E95" s="23">
        <v>13910.4</v>
      </c>
    </row>
    <row r="96" spans="1:5" ht="17" x14ac:dyDescent="0.2">
      <c r="A96" s="24" t="s">
        <v>279</v>
      </c>
      <c r="B96" s="22" t="s">
        <v>290</v>
      </c>
      <c r="C96" s="23">
        <v>12.34</v>
      </c>
      <c r="D96" s="23">
        <v>2720</v>
      </c>
      <c r="E96" s="23">
        <v>33558</v>
      </c>
    </row>
    <row r="97" spans="1:5" ht="17" x14ac:dyDescent="0.2">
      <c r="A97" s="24" t="s">
        <v>301</v>
      </c>
      <c r="B97" s="22" t="s">
        <v>307</v>
      </c>
      <c r="C97" s="23">
        <v>21.35</v>
      </c>
      <c r="D97" s="23">
        <v>2780</v>
      </c>
      <c r="E97" s="23">
        <v>59353</v>
      </c>
    </row>
    <row r="98" spans="1:5" ht="17" x14ac:dyDescent="0.2">
      <c r="A98" s="24" t="s">
        <v>280</v>
      </c>
      <c r="B98" s="22" t="s">
        <v>288</v>
      </c>
      <c r="C98" s="23">
        <v>20.81</v>
      </c>
      <c r="D98" s="23">
        <v>1990</v>
      </c>
      <c r="E98" s="23">
        <v>41418.870000000003</v>
      </c>
    </row>
    <row r="99" spans="1:5" ht="17" x14ac:dyDescent="0.2">
      <c r="A99" s="24" t="s">
        <v>287</v>
      </c>
      <c r="B99" s="22" t="s">
        <v>288</v>
      </c>
      <c r="C99" s="23">
        <v>12.67</v>
      </c>
      <c r="D99" s="23">
        <v>1990</v>
      </c>
      <c r="E99" s="23">
        <v>25213.3</v>
      </c>
    </row>
    <row r="100" spans="1:5" ht="17" x14ac:dyDescent="0.2">
      <c r="A100" s="24" t="s">
        <v>282</v>
      </c>
      <c r="B100" s="22" t="s">
        <v>320</v>
      </c>
      <c r="C100" s="23">
        <v>5.56</v>
      </c>
      <c r="D100" s="23">
        <v>2190</v>
      </c>
      <c r="E100" s="23">
        <v>12176.4</v>
      </c>
    </row>
    <row r="101" spans="1:5" ht="17" x14ac:dyDescent="0.2">
      <c r="A101" s="24" t="s">
        <v>280</v>
      </c>
      <c r="B101" s="22" t="s">
        <v>320</v>
      </c>
      <c r="C101" s="23">
        <v>25</v>
      </c>
      <c r="D101" s="23">
        <v>2190</v>
      </c>
      <c r="E101" s="23">
        <v>54744.53</v>
      </c>
    </row>
    <row r="102" spans="1:5" ht="17" x14ac:dyDescent="0.2">
      <c r="A102" s="22" t="s">
        <v>304</v>
      </c>
      <c r="B102" s="22" t="s">
        <v>291</v>
      </c>
      <c r="C102" s="23">
        <v>7.42</v>
      </c>
      <c r="D102" s="23">
        <v>2830</v>
      </c>
      <c r="E102" s="23">
        <v>20998.6</v>
      </c>
    </row>
    <row r="103" spans="1:5" ht="17" x14ac:dyDescent="0.2">
      <c r="A103" s="22" t="s">
        <v>282</v>
      </c>
      <c r="B103" s="22" t="s">
        <v>291</v>
      </c>
      <c r="C103" s="23">
        <v>27.07</v>
      </c>
      <c r="D103" s="23">
        <v>2830</v>
      </c>
      <c r="E103" s="23">
        <v>76593.95</v>
      </c>
    </row>
    <row r="104" spans="1:5" ht="17" x14ac:dyDescent="0.2">
      <c r="A104" s="22" t="s">
        <v>282</v>
      </c>
      <c r="B104" s="22" t="s">
        <v>291</v>
      </c>
      <c r="C104" s="23">
        <v>10.99</v>
      </c>
      <c r="D104" s="23">
        <v>2930</v>
      </c>
      <c r="E104" s="23">
        <v>32186.05</v>
      </c>
    </row>
    <row r="105" spans="1:5" ht="17" x14ac:dyDescent="0.2">
      <c r="A105" s="24" t="s">
        <v>283</v>
      </c>
      <c r="B105" s="22" t="s">
        <v>297</v>
      </c>
      <c r="C105" s="23">
        <v>10.79</v>
      </c>
      <c r="D105" s="23">
        <v>2930</v>
      </c>
      <c r="E105" s="23">
        <v>31604.45</v>
      </c>
    </row>
    <row r="106" spans="1:5" ht="17" x14ac:dyDescent="0.2">
      <c r="A106" s="24" t="s">
        <v>301</v>
      </c>
      <c r="B106" s="22" t="s">
        <v>307</v>
      </c>
      <c r="C106" s="23">
        <v>21.74</v>
      </c>
      <c r="D106" s="23">
        <v>2780</v>
      </c>
      <c r="E106" s="23">
        <v>60423.3</v>
      </c>
    </row>
    <row r="107" spans="1:5" ht="17" x14ac:dyDescent="0.2">
      <c r="A107" s="24" t="s">
        <v>282</v>
      </c>
      <c r="B107" s="22" t="s">
        <v>291</v>
      </c>
      <c r="C107" s="23">
        <v>15.4</v>
      </c>
      <c r="D107" s="23">
        <v>2940</v>
      </c>
      <c r="E107" s="23">
        <v>45276</v>
      </c>
    </row>
    <row r="108" spans="1:5" ht="17" x14ac:dyDescent="0.2">
      <c r="A108" s="24" t="s">
        <v>282</v>
      </c>
      <c r="B108" s="22" t="s">
        <v>291</v>
      </c>
      <c r="C108" s="23">
        <v>6.84</v>
      </c>
      <c r="D108" s="23">
        <v>2940</v>
      </c>
      <c r="E108" s="23">
        <v>20112.54</v>
      </c>
    </row>
    <row r="109" spans="1:5" ht="17" x14ac:dyDescent="0.2">
      <c r="A109" s="24" t="s">
        <v>348</v>
      </c>
      <c r="B109" s="22" t="s">
        <v>291</v>
      </c>
      <c r="C109" s="23">
        <v>19.71</v>
      </c>
      <c r="D109" s="23">
        <v>2930</v>
      </c>
      <c r="E109" s="23">
        <v>57735.65</v>
      </c>
    </row>
    <row r="110" spans="1:5" ht="17" x14ac:dyDescent="0.2">
      <c r="A110" s="24" t="s">
        <v>351</v>
      </c>
      <c r="B110" s="22" t="s">
        <v>308</v>
      </c>
      <c r="C110" s="23">
        <v>11.47</v>
      </c>
      <c r="D110" s="23">
        <v>2880</v>
      </c>
      <c r="E110" s="23">
        <v>33033.599999999999</v>
      </c>
    </row>
    <row r="111" spans="1:5" ht="17" x14ac:dyDescent="0.2">
      <c r="A111" s="24" t="s">
        <v>279</v>
      </c>
      <c r="B111" s="22" t="s">
        <v>297</v>
      </c>
      <c r="C111" s="23">
        <v>15.1</v>
      </c>
      <c r="D111" s="23">
        <v>2930</v>
      </c>
      <c r="E111" s="23">
        <v>44243</v>
      </c>
    </row>
    <row r="112" spans="1:5" ht="17" x14ac:dyDescent="0.2">
      <c r="A112" s="24" t="s">
        <v>299</v>
      </c>
      <c r="B112" s="22" t="s">
        <v>291</v>
      </c>
      <c r="C112" s="23">
        <v>23.5</v>
      </c>
      <c r="D112" s="23">
        <v>2930</v>
      </c>
      <c r="E112" s="23">
        <v>68855</v>
      </c>
    </row>
    <row r="113" spans="1:5" ht="17" x14ac:dyDescent="0.2">
      <c r="A113" s="24" t="s">
        <v>279</v>
      </c>
      <c r="B113" s="25" t="s">
        <v>320</v>
      </c>
      <c r="C113" s="23">
        <v>21</v>
      </c>
      <c r="D113" s="23">
        <v>2180</v>
      </c>
      <c r="E113" s="23">
        <v>45780</v>
      </c>
    </row>
    <row r="114" spans="1:5" ht="17" x14ac:dyDescent="0.2">
      <c r="A114" s="24" t="s">
        <v>301</v>
      </c>
      <c r="B114" s="22" t="s">
        <v>307</v>
      </c>
      <c r="C114" s="23">
        <v>19.93</v>
      </c>
      <c r="D114" s="23">
        <v>2780</v>
      </c>
      <c r="E114" s="23">
        <v>55399.839999999997</v>
      </c>
    </row>
    <row r="115" spans="1:5" ht="17" x14ac:dyDescent="0.2">
      <c r="A115" s="24" t="s">
        <v>301</v>
      </c>
      <c r="B115" s="22" t="s">
        <v>307</v>
      </c>
      <c r="C115" s="23">
        <v>19.98</v>
      </c>
      <c r="D115" s="23">
        <v>2780</v>
      </c>
      <c r="E115" s="23">
        <v>55547.18</v>
      </c>
    </row>
    <row r="116" spans="1:5" ht="17" x14ac:dyDescent="0.2">
      <c r="A116" s="24" t="s">
        <v>282</v>
      </c>
      <c r="B116" s="22" t="s">
        <v>290</v>
      </c>
      <c r="C116" s="23">
        <v>11.12</v>
      </c>
      <c r="D116" s="23">
        <v>2720</v>
      </c>
      <c r="E116" s="23">
        <v>30253.200000000001</v>
      </c>
    </row>
    <row r="117" spans="1:5" ht="17" x14ac:dyDescent="0.2">
      <c r="A117" s="24" t="s">
        <v>279</v>
      </c>
      <c r="B117" s="22" t="s">
        <v>290</v>
      </c>
      <c r="C117" s="23">
        <v>9.73</v>
      </c>
      <c r="D117" s="23">
        <v>2720</v>
      </c>
      <c r="E117" s="23">
        <v>26465.599999999999</v>
      </c>
    </row>
    <row r="118" spans="1:5" ht="17" x14ac:dyDescent="0.2">
      <c r="A118" s="24" t="s">
        <v>279</v>
      </c>
      <c r="B118" s="22" t="s">
        <v>297</v>
      </c>
      <c r="C118" s="23">
        <v>23.2</v>
      </c>
      <c r="D118" s="23">
        <v>2940</v>
      </c>
      <c r="E118" s="23">
        <v>68208</v>
      </c>
    </row>
    <row r="119" spans="1:5" ht="17" x14ac:dyDescent="0.2">
      <c r="A119" s="24" t="s">
        <v>282</v>
      </c>
      <c r="B119" s="22" t="s">
        <v>290</v>
      </c>
      <c r="C119" s="23">
        <v>7</v>
      </c>
      <c r="D119" s="23">
        <v>2720</v>
      </c>
      <c r="E119" s="23">
        <v>19040</v>
      </c>
    </row>
    <row r="120" spans="1:5" ht="17" x14ac:dyDescent="0.2">
      <c r="A120" s="24" t="s">
        <v>279</v>
      </c>
      <c r="B120" s="22" t="s">
        <v>290</v>
      </c>
      <c r="C120" s="23">
        <v>9.64</v>
      </c>
      <c r="D120" s="23">
        <v>2720</v>
      </c>
      <c r="E120" s="23">
        <v>26207.200000000001</v>
      </c>
    </row>
    <row r="121" spans="1:5" ht="17" x14ac:dyDescent="0.2">
      <c r="A121" s="24" t="s">
        <v>282</v>
      </c>
      <c r="B121" s="22" t="s">
        <v>291</v>
      </c>
      <c r="C121" s="23">
        <v>34.89</v>
      </c>
      <c r="D121" s="23">
        <v>2830</v>
      </c>
      <c r="E121" s="23">
        <v>98738.7</v>
      </c>
    </row>
    <row r="122" spans="1:5" ht="17" x14ac:dyDescent="0.2">
      <c r="A122" s="24" t="s">
        <v>282</v>
      </c>
      <c r="B122" s="22" t="s">
        <v>290</v>
      </c>
      <c r="C122" s="23">
        <v>14.03</v>
      </c>
      <c r="D122" s="23">
        <v>2820</v>
      </c>
      <c r="E122" s="23">
        <v>39550.5</v>
      </c>
    </row>
    <row r="123" spans="1:5" ht="17" x14ac:dyDescent="0.2">
      <c r="A123" s="24" t="s">
        <v>285</v>
      </c>
      <c r="B123" s="22" t="s">
        <v>354</v>
      </c>
      <c r="C123" s="23">
        <v>7.42</v>
      </c>
      <c r="D123" s="23">
        <v>2770</v>
      </c>
      <c r="E123" s="23">
        <v>20553.400000000001</v>
      </c>
    </row>
    <row r="124" spans="1:5" ht="17" x14ac:dyDescent="0.2">
      <c r="A124" s="24" t="s">
        <v>304</v>
      </c>
      <c r="B124" s="22" t="s">
        <v>314</v>
      </c>
      <c r="C124" s="23">
        <v>25.55</v>
      </c>
      <c r="D124" s="23">
        <v>2040</v>
      </c>
      <c r="E124" s="23">
        <v>52122</v>
      </c>
    </row>
    <row r="125" spans="1:5" ht="17" x14ac:dyDescent="0.2">
      <c r="A125" s="24" t="s">
        <v>279</v>
      </c>
      <c r="B125" s="22" t="s">
        <v>308</v>
      </c>
      <c r="C125" s="23">
        <v>9.06</v>
      </c>
      <c r="D125" s="23">
        <v>2880</v>
      </c>
      <c r="E125" s="23">
        <v>26082.720000000001</v>
      </c>
    </row>
    <row r="126" spans="1:5" ht="17" x14ac:dyDescent="0.2">
      <c r="A126" s="24" t="s">
        <v>299</v>
      </c>
      <c r="B126" s="22" t="s">
        <v>291</v>
      </c>
      <c r="C126" s="23">
        <v>30.5</v>
      </c>
      <c r="D126" s="23">
        <v>2930</v>
      </c>
      <c r="E126" s="23">
        <v>89365</v>
      </c>
    </row>
    <row r="127" spans="1:5" ht="17" x14ac:dyDescent="0.2">
      <c r="A127" s="24" t="s">
        <v>282</v>
      </c>
      <c r="B127" s="22" t="s">
        <v>291</v>
      </c>
      <c r="C127" s="23">
        <v>13.11</v>
      </c>
      <c r="D127" s="23">
        <v>2940</v>
      </c>
      <c r="E127" s="23">
        <v>38528.699999999997</v>
      </c>
    </row>
    <row r="128" spans="1:5" ht="17" x14ac:dyDescent="0.2">
      <c r="A128" s="24" t="s">
        <v>299</v>
      </c>
      <c r="B128" s="22" t="s">
        <v>291</v>
      </c>
      <c r="C128" s="23">
        <v>9.56</v>
      </c>
      <c r="D128" s="23">
        <v>2940</v>
      </c>
      <c r="E128" s="23">
        <v>28091.7</v>
      </c>
    </row>
    <row r="129" spans="1:5" ht="17" x14ac:dyDescent="0.2">
      <c r="A129" s="24" t="s">
        <v>299</v>
      </c>
      <c r="B129" s="22" t="s">
        <v>297</v>
      </c>
      <c r="C129" s="23">
        <v>6.84</v>
      </c>
      <c r="D129" s="23">
        <v>2930</v>
      </c>
      <c r="E129" s="23">
        <v>20032.41</v>
      </c>
    </row>
    <row r="130" spans="1:5" ht="17" x14ac:dyDescent="0.2">
      <c r="A130" s="24" t="s">
        <v>282</v>
      </c>
      <c r="B130" s="22" t="s">
        <v>291</v>
      </c>
      <c r="C130" s="23">
        <v>30.02</v>
      </c>
      <c r="D130" s="23">
        <v>2930</v>
      </c>
      <c r="E130" s="23">
        <v>87949.81</v>
      </c>
    </row>
    <row r="131" spans="1:5" ht="17" x14ac:dyDescent="0.2">
      <c r="A131" s="24" t="s">
        <v>282</v>
      </c>
      <c r="B131" s="22" t="s">
        <v>291</v>
      </c>
      <c r="C131" s="23">
        <v>27.8</v>
      </c>
      <c r="D131" s="23">
        <v>2930</v>
      </c>
      <c r="E131" s="23">
        <v>81454</v>
      </c>
    </row>
    <row r="132" spans="1:5" ht="17" x14ac:dyDescent="0.2">
      <c r="A132" s="24" t="s">
        <v>316</v>
      </c>
      <c r="B132" s="22" t="s">
        <v>308</v>
      </c>
      <c r="C132" s="23">
        <v>6.34</v>
      </c>
      <c r="D132" s="23">
        <v>2880</v>
      </c>
      <c r="E132" s="23">
        <v>18254.88</v>
      </c>
    </row>
    <row r="133" spans="1:5" ht="17" x14ac:dyDescent="0.2">
      <c r="A133" s="24" t="s">
        <v>355</v>
      </c>
      <c r="B133" s="22" t="s">
        <v>352</v>
      </c>
      <c r="C133" s="23">
        <v>16.53</v>
      </c>
      <c r="D133" s="23">
        <v>1400</v>
      </c>
      <c r="E133" s="23">
        <v>23145.08</v>
      </c>
    </row>
    <row r="134" spans="1:5" ht="17" x14ac:dyDescent="0.2">
      <c r="A134" s="24" t="s">
        <v>279</v>
      </c>
      <c r="B134" s="22" t="s">
        <v>352</v>
      </c>
      <c r="C134" s="23">
        <v>17.8</v>
      </c>
      <c r="D134" s="23">
        <v>1400</v>
      </c>
      <c r="E134" s="23">
        <v>24920</v>
      </c>
    </row>
    <row r="135" spans="1:5" ht="17" x14ac:dyDescent="0.2">
      <c r="A135" s="24" t="s">
        <v>301</v>
      </c>
      <c r="B135" s="22" t="s">
        <v>307</v>
      </c>
      <c r="C135" s="23">
        <v>4.29</v>
      </c>
      <c r="D135" s="23">
        <v>2780</v>
      </c>
      <c r="E135" s="23">
        <v>11933.15</v>
      </c>
    </row>
    <row r="136" spans="1:5" ht="17" x14ac:dyDescent="0.2">
      <c r="A136" s="24" t="s">
        <v>301</v>
      </c>
      <c r="B136" s="22" t="s">
        <v>307</v>
      </c>
      <c r="C136" s="23">
        <v>14</v>
      </c>
      <c r="D136" s="23">
        <v>2780</v>
      </c>
      <c r="E136" s="23">
        <v>38920</v>
      </c>
    </row>
    <row r="137" spans="1:5" ht="17" x14ac:dyDescent="0.2">
      <c r="A137" s="24" t="s">
        <v>279</v>
      </c>
      <c r="B137" s="22" t="s">
        <v>352</v>
      </c>
      <c r="C137" s="23">
        <v>33.36</v>
      </c>
      <c r="D137" s="23">
        <v>1300</v>
      </c>
      <c r="E137" s="23">
        <v>43361.5</v>
      </c>
    </row>
    <row r="138" spans="1:5" ht="17" x14ac:dyDescent="0.2">
      <c r="A138" s="24" t="s">
        <v>301</v>
      </c>
      <c r="B138" s="22" t="s">
        <v>307</v>
      </c>
      <c r="C138" s="23">
        <v>20.96</v>
      </c>
      <c r="D138" s="23">
        <v>2780</v>
      </c>
      <c r="E138" s="23">
        <v>58268.800000000003</v>
      </c>
    </row>
    <row r="139" spans="1:5" ht="17" x14ac:dyDescent="0.2">
      <c r="A139" s="24" t="s">
        <v>299</v>
      </c>
      <c r="B139" s="22" t="s">
        <v>291</v>
      </c>
      <c r="C139" s="23">
        <v>15.23</v>
      </c>
      <c r="D139" s="23">
        <v>2830</v>
      </c>
      <c r="E139" s="23">
        <v>43086.75</v>
      </c>
    </row>
    <row r="140" spans="1:5" ht="17" x14ac:dyDescent="0.2">
      <c r="A140" s="24" t="s">
        <v>282</v>
      </c>
      <c r="B140" s="22" t="s">
        <v>291</v>
      </c>
      <c r="C140" s="23">
        <v>23.61</v>
      </c>
      <c r="D140" s="23">
        <v>2830</v>
      </c>
      <c r="E140" s="23">
        <v>66823.38</v>
      </c>
    </row>
    <row r="141" spans="1:5" ht="17" x14ac:dyDescent="0.2">
      <c r="A141" s="24" t="s">
        <v>299</v>
      </c>
      <c r="B141" s="22" t="s">
        <v>291</v>
      </c>
      <c r="C141" s="23">
        <v>28.87</v>
      </c>
      <c r="D141" s="23">
        <v>2930</v>
      </c>
      <c r="E141" s="23">
        <v>84574.45</v>
      </c>
    </row>
    <row r="142" spans="1:5" ht="17" x14ac:dyDescent="0.2">
      <c r="A142" s="24" t="s">
        <v>279</v>
      </c>
      <c r="B142" s="22" t="s">
        <v>308</v>
      </c>
      <c r="C142" s="23">
        <v>10</v>
      </c>
      <c r="D142" s="23">
        <v>2880</v>
      </c>
      <c r="E142" s="23">
        <v>28801.439999999999</v>
      </c>
    </row>
    <row r="143" spans="1:5" ht="17" x14ac:dyDescent="0.2">
      <c r="A143" s="24" t="s">
        <v>301</v>
      </c>
      <c r="B143" s="22" t="s">
        <v>307</v>
      </c>
      <c r="C143" s="23">
        <v>21.21</v>
      </c>
      <c r="D143" s="23">
        <v>2780</v>
      </c>
      <c r="E143" s="23">
        <v>58963.8</v>
      </c>
    </row>
    <row r="144" spans="1:5" ht="17" x14ac:dyDescent="0.2">
      <c r="A144" s="24" t="s">
        <v>301</v>
      </c>
      <c r="B144" s="22" t="s">
        <v>307</v>
      </c>
      <c r="C144" s="23">
        <v>20.93</v>
      </c>
      <c r="D144" s="23">
        <v>2780</v>
      </c>
      <c r="E144" s="23">
        <v>58185.4</v>
      </c>
    </row>
    <row r="145" spans="1:5" ht="17" x14ac:dyDescent="0.2">
      <c r="A145" s="24" t="s">
        <v>301</v>
      </c>
      <c r="B145" s="22" t="s">
        <v>307</v>
      </c>
      <c r="C145" s="23">
        <v>18.059999999999999</v>
      </c>
      <c r="D145" s="23">
        <v>2780</v>
      </c>
      <c r="E145" s="23">
        <v>50206.8</v>
      </c>
    </row>
    <row r="146" spans="1:5" ht="17" x14ac:dyDescent="0.2">
      <c r="A146" s="24" t="s">
        <v>282</v>
      </c>
      <c r="B146" s="22" t="s">
        <v>290</v>
      </c>
      <c r="C146" s="23">
        <v>11.68</v>
      </c>
      <c r="D146" s="23">
        <v>2720</v>
      </c>
      <c r="E146" s="23">
        <v>31760.080000000002</v>
      </c>
    </row>
    <row r="147" spans="1:5" ht="17" x14ac:dyDescent="0.2">
      <c r="A147" s="24" t="s">
        <v>282</v>
      </c>
      <c r="B147" s="22" t="s">
        <v>290</v>
      </c>
      <c r="C147" s="23">
        <v>8.18</v>
      </c>
      <c r="D147" s="23">
        <v>2720</v>
      </c>
      <c r="E147" s="23">
        <v>22236</v>
      </c>
    </row>
    <row r="148" spans="1:5" ht="17" x14ac:dyDescent="0.2">
      <c r="A148" s="24" t="s">
        <v>356</v>
      </c>
      <c r="B148" s="22" t="s">
        <v>326</v>
      </c>
      <c r="C148" s="23">
        <v>26.91</v>
      </c>
      <c r="D148" s="23">
        <v>1830</v>
      </c>
      <c r="E148" s="23">
        <v>49238.9</v>
      </c>
    </row>
    <row r="149" spans="1:5" ht="17" x14ac:dyDescent="0.2">
      <c r="A149" s="24" t="s">
        <v>356</v>
      </c>
      <c r="B149" s="22" t="s">
        <v>326</v>
      </c>
      <c r="C149" s="23">
        <v>0.64</v>
      </c>
      <c r="D149" s="23">
        <v>1830</v>
      </c>
      <c r="E149" s="23">
        <v>1163.8800000000001</v>
      </c>
    </row>
    <row r="150" spans="1:5" ht="17" x14ac:dyDescent="0.2">
      <c r="A150" s="24" t="s">
        <v>356</v>
      </c>
      <c r="B150" s="22" t="s">
        <v>326</v>
      </c>
      <c r="C150" s="23">
        <v>0.28999999999999998</v>
      </c>
      <c r="D150" s="23">
        <v>1830</v>
      </c>
      <c r="E150" s="23">
        <v>533.45000000000005</v>
      </c>
    </row>
    <row r="151" spans="1:5" ht="17" x14ac:dyDescent="0.2">
      <c r="A151" s="24" t="s">
        <v>356</v>
      </c>
      <c r="B151" s="22" t="s">
        <v>326</v>
      </c>
      <c r="C151" s="23">
        <v>0.7</v>
      </c>
      <c r="D151" s="23">
        <v>1830</v>
      </c>
      <c r="E151" s="23">
        <v>1281</v>
      </c>
    </row>
    <row r="152" spans="1:5" ht="17" x14ac:dyDescent="0.2">
      <c r="A152" s="24" t="s">
        <v>357</v>
      </c>
      <c r="B152" s="22" t="s">
        <v>290</v>
      </c>
      <c r="C152" s="23">
        <v>14.14</v>
      </c>
      <c r="D152" s="23">
        <v>2820</v>
      </c>
      <c r="E152" s="23">
        <v>39867.75</v>
      </c>
    </row>
    <row r="153" spans="1:5" ht="17" x14ac:dyDescent="0.2">
      <c r="A153" s="24" t="s">
        <v>357</v>
      </c>
      <c r="B153" s="22" t="s">
        <v>327</v>
      </c>
      <c r="C153" s="23">
        <v>8.32</v>
      </c>
      <c r="D153" s="23">
        <v>2730</v>
      </c>
      <c r="E153" s="23">
        <v>22710.87</v>
      </c>
    </row>
    <row r="154" spans="1:5" ht="17" x14ac:dyDescent="0.2">
      <c r="A154" s="24" t="s">
        <v>329</v>
      </c>
      <c r="B154" s="22" t="s">
        <v>326</v>
      </c>
      <c r="C154" s="23">
        <v>4.4800000000000004</v>
      </c>
      <c r="D154" s="23">
        <v>1830</v>
      </c>
      <c r="E154" s="23">
        <v>8189.25</v>
      </c>
    </row>
    <row r="155" spans="1:5" ht="17" x14ac:dyDescent="0.2">
      <c r="A155" s="24" t="s">
        <v>279</v>
      </c>
      <c r="B155" s="22" t="s">
        <v>326</v>
      </c>
      <c r="C155" s="23">
        <v>26.72</v>
      </c>
      <c r="D155" s="23">
        <v>1830</v>
      </c>
      <c r="E155" s="23">
        <v>48896.69</v>
      </c>
    </row>
    <row r="156" spans="1:5" ht="17" x14ac:dyDescent="0.2">
      <c r="A156" s="24" t="s">
        <v>329</v>
      </c>
      <c r="B156" s="22" t="s">
        <v>326</v>
      </c>
      <c r="C156" s="23">
        <v>0.28999999999999998</v>
      </c>
      <c r="D156" s="23">
        <v>1830</v>
      </c>
      <c r="E156" s="23">
        <v>533.45000000000005</v>
      </c>
    </row>
    <row r="157" spans="1:5" ht="17" x14ac:dyDescent="0.2">
      <c r="A157" s="24" t="s">
        <v>329</v>
      </c>
      <c r="B157" s="22" t="s">
        <v>326</v>
      </c>
      <c r="C157" s="23">
        <v>0.9</v>
      </c>
      <c r="D157" s="23">
        <v>1830</v>
      </c>
      <c r="E157" s="23">
        <v>1648.83</v>
      </c>
    </row>
    <row r="158" spans="1:5" ht="17" x14ac:dyDescent="0.2">
      <c r="A158" s="24" t="s">
        <v>279</v>
      </c>
      <c r="B158" s="22" t="s">
        <v>290</v>
      </c>
      <c r="C158" s="23">
        <v>14.55</v>
      </c>
      <c r="D158" s="23">
        <v>2720</v>
      </c>
      <c r="E158" s="23">
        <v>39566.480000000003</v>
      </c>
    </row>
    <row r="159" spans="1:5" ht="17" x14ac:dyDescent="0.2">
      <c r="A159" s="24" t="s">
        <v>274</v>
      </c>
      <c r="B159" s="22" t="s">
        <v>326</v>
      </c>
      <c r="C159" s="23">
        <v>17.77</v>
      </c>
      <c r="D159" s="23">
        <v>1980</v>
      </c>
      <c r="E159" s="23">
        <v>35176.68</v>
      </c>
    </row>
    <row r="160" spans="1:5" ht="17" x14ac:dyDescent="0.2">
      <c r="A160" s="24" t="s">
        <v>301</v>
      </c>
      <c r="B160" s="22" t="s">
        <v>307</v>
      </c>
      <c r="C160" s="23">
        <v>18.09</v>
      </c>
      <c r="D160" s="23">
        <v>2780</v>
      </c>
      <c r="E160" s="23">
        <v>50297.15</v>
      </c>
    </row>
    <row r="161" spans="1:5" ht="17" x14ac:dyDescent="0.2">
      <c r="A161" s="24" t="s">
        <v>274</v>
      </c>
      <c r="B161" s="22" t="s">
        <v>326</v>
      </c>
      <c r="C161" s="23">
        <v>29.64</v>
      </c>
      <c r="D161" s="23">
        <v>1830</v>
      </c>
      <c r="E161" s="23">
        <v>54232.05</v>
      </c>
    </row>
    <row r="162" spans="1:5" ht="17" x14ac:dyDescent="0.2">
      <c r="A162" s="24" t="s">
        <v>279</v>
      </c>
      <c r="B162" s="22" t="s">
        <v>326</v>
      </c>
      <c r="C162" s="23">
        <v>6.95</v>
      </c>
      <c r="D162" s="23">
        <v>1830</v>
      </c>
      <c r="E162" s="23">
        <v>12718.5</v>
      </c>
    </row>
    <row r="163" spans="1:5" ht="17" x14ac:dyDescent="0.2">
      <c r="A163" s="24" t="s">
        <v>279</v>
      </c>
      <c r="B163" s="22" t="s">
        <v>328</v>
      </c>
      <c r="C163" s="23">
        <v>30.43</v>
      </c>
      <c r="D163" s="23">
        <v>1970</v>
      </c>
      <c r="E163" s="23">
        <v>59945.13</v>
      </c>
    </row>
    <row r="164" spans="1:5" ht="17" x14ac:dyDescent="0.2">
      <c r="A164" s="24" t="s">
        <v>274</v>
      </c>
      <c r="B164" s="22" t="s">
        <v>326</v>
      </c>
      <c r="C164" s="23">
        <v>2.09</v>
      </c>
      <c r="D164" s="23">
        <v>2080</v>
      </c>
      <c r="E164" s="23">
        <v>4347.2</v>
      </c>
    </row>
    <row r="165" spans="1:5" ht="17" x14ac:dyDescent="0.2">
      <c r="A165" s="24" t="s">
        <v>274</v>
      </c>
      <c r="B165" s="22" t="s">
        <v>358</v>
      </c>
      <c r="C165" s="23">
        <v>16.32</v>
      </c>
      <c r="D165" s="23">
        <v>2040</v>
      </c>
      <c r="E165" s="23">
        <v>33291.980000000003</v>
      </c>
    </row>
    <row r="166" spans="1:5" ht="17" x14ac:dyDescent="0.2">
      <c r="A166" s="24" t="s">
        <v>279</v>
      </c>
      <c r="B166" s="22" t="s">
        <v>290</v>
      </c>
      <c r="C166" s="23">
        <v>8.26</v>
      </c>
      <c r="D166" s="23">
        <v>2820</v>
      </c>
      <c r="E166" s="23">
        <v>23293.200000000001</v>
      </c>
    </row>
    <row r="167" spans="1:5" ht="17" x14ac:dyDescent="0.2">
      <c r="A167" s="24" t="s">
        <v>279</v>
      </c>
      <c r="B167" s="22" t="s">
        <v>290</v>
      </c>
      <c r="C167" s="23">
        <v>8.0500000000000007</v>
      </c>
      <c r="D167" s="23">
        <v>2820</v>
      </c>
      <c r="E167" s="23">
        <v>22701</v>
      </c>
    </row>
    <row r="168" spans="1:5" ht="17" x14ac:dyDescent="0.2">
      <c r="A168" s="24" t="s">
        <v>299</v>
      </c>
      <c r="B168" s="22" t="s">
        <v>292</v>
      </c>
      <c r="C168" s="23">
        <v>18.920000000000002</v>
      </c>
      <c r="D168" s="23">
        <v>3750</v>
      </c>
      <c r="E168" s="23">
        <v>70940.63</v>
      </c>
    </row>
    <row r="169" spans="1:5" x14ac:dyDescent="0.2">
      <c r="A169" s="23" t="s">
        <v>280</v>
      </c>
      <c r="B169" s="23" t="s">
        <v>290</v>
      </c>
      <c r="C169" s="23">
        <v>24.5</v>
      </c>
      <c r="D169" s="23">
        <v>2720</v>
      </c>
      <c r="E169" s="23">
        <v>66640</v>
      </c>
    </row>
    <row r="170" spans="1:5" x14ac:dyDescent="0.2">
      <c r="A170" s="23" t="s">
        <v>279</v>
      </c>
      <c r="B170" s="23" t="s">
        <v>290</v>
      </c>
      <c r="C170" s="23">
        <v>7.0735000000000001</v>
      </c>
      <c r="D170" s="23">
        <v>2820</v>
      </c>
      <c r="E170" s="23">
        <v>19947.27</v>
      </c>
    </row>
    <row r="171" spans="1:5" x14ac:dyDescent="0.2">
      <c r="A171" s="23" t="s">
        <v>279</v>
      </c>
      <c r="B171" s="23" t="s">
        <v>290</v>
      </c>
      <c r="C171" s="23">
        <v>13.015499999999999</v>
      </c>
      <c r="D171" s="23">
        <v>2820</v>
      </c>
      <c r="E171" s="23">
        <v>36703.71</v>
      </c>
    </row>
    <row r="172" spans="1:5" x14ac:dyDescent="0.2">
      <c r="A172" s="23" t="s">
        <v>282</v>
      </c>
      <c r="B172" s="23" t="s">
        <v>291</v>
      </c>
      <c r="C172" s="23">
        <v>26.516999999999999</v>
      </c>
      <c r="D172" s="23">
        <v>2830</v>
      </c>
      <c r="E172" s="23">
        <v>75043.11</v>
      </c>
    </row>
    <row r="173" spans="1:5" x14ac:dyDescent="0.2">
      <c r="A173" s="23" t="s">
        <v>304</v>
      </c>
      <c r="B173" s="23" t="s">
        <v>291</v>
      </c>
      <c r="C173" s="23">
        <v>16.45</v>
      </c>
      <c r="D173" s="23">
        <v>2830</v>
      </c>
      <c r="E173" s="23">
        <v>46553.5</v>
      </c>
    </row>
    <row r="174" spans="1:5" x14ac:dyDescent="0.2">
      <c r="A174" s="23" t="s">
        <v>280</v>
      </c>
      <c r="B174" s="23" t="s">
        <v>288</v>
      </c>
      <c r="C174" s="23">
        <v>32.628500000000003</v>
      </c>
      <c r="D174" s="23">
        <v>1990</v>
      </c>
      <c r="E174" s="23">
        <v>64930.720000000001</v>
      </c>
    </row>
    <row r="175" spans="1:5" x14ac:dyDescent="0.2">
      <c r="A175" s="23" t="s">
        <v>280</v>
      </c>
      <c r="B175" s="23" t="s">
        <v>288</v>
      </c>
      <c r="C175" s="23">
        <v>16.975000000000001</v>
      </c>
      <c r="D175" s="23">
        <v>2160</v>
      </c>
      <c r="E175" s="23">
        <v>36666</v>
      </c>
    </row>
    <row r="176" spans="1:5" x14ac:dyDescent="0.2">
      <c r="A176" s="23" t="s">
        <v>280</v>
      </c>
      <c r="B176" s="23" t="s">
        <v>288</v>
      </c>
      <c r="C176" s="23">
        <v>6.101</v>
      </c>
      <c r="D176" s="23">
        <v>2160</v>
      </c>
      <c r="E176" s="23">
        <v>13178.16</v>
      </c>
    </row>
    <row r="177" spans="1:5" x14ac:dyDescent="0.2">
      <c r="A177" s="23" t="s">
        <v>304</v>
      </c>
      <c r="B177" s="23" t="s">
        <v>311</v>
      </c>
      <c r="C177" s="23">
        <v>17.225000000000001</v>
      </c>
      <c r="D177" s="23">
        <v>3680</v>
      </c>
      <c r="E177" s="23">
        <v>63388</v>
      </c>
    </row>
    <row r="178" spans="1:5" x14ac:dyDescent="0.2">
      <c r="A178" s="23" t="s">
        <v>305</v>
      </c>
      <c r="B178" s="23" t="s">
        <v>311</v>
      </c>
      <c r="C178" s="23">
        <v>19.736999999999998</v>
      </c>
      <c r="D178" s="23">
        <v>3680</v>
      </c>
      <c r="E178" s="23">
        <v>72632.160000000003</v>
      </c>
    </row>
    <row r="179" spans="1:5" x14ac:dyDescent="0.2">
      <c r="A179" s="23" t="s">
        <v>299</v>
      </c>
      <c r="B179" s="23" t="s">
        <v>312</v>
      </c>
      <c r="C179" s="23">
        <v>24.324999999999999</v>
      </c>
      <c r="D179" s="23">
        <v>3260</v>
      </c>
      <c r="E179" s="23">
        <v>79299.5</v>
      </c>
    </row>
    <row r="180" spans="1:5" x14ac:dyDescent="0.2">
      <c r="A180" s="23" t="s">
        <v>305</v>
      </c>
      <c r="B180" s="23" t="s">
        <v>313</v>
      </c>
      <c r="C180" s="23">
        <v>11.603</v>
      </c>
      <c r="D180" s="23">
        <v>3260</v>
      </c>
      <c r="E180" s="23">
        <v>37825.78</v>
      </c>
    </row>
    <row r="181" spans="1:5" x14ac:dyDescent="0.2">
      <c r="A181" s="23" t="s">
        <v>279</v>
      </c>
      <c r="B181" s="23" t="s">
        <v>314</v>
      </c>
      <c r="C181" s="23">
        <v>11.2575</v>
      </c>
      <c r="D181" s="23">
        <v>2140</v>
      </c>
      <c r="E181" s="23">
        <v>24091.05</v>
      </c>
    </row>
    <row r="182" spans="1:5" x14ac:dyDescent="0.2">
      <c r="A182" s="23" t="s">
        <v>279</v>
      </c>
      <c r="B182" s="23" t="s">
        <v>314</v>
      </c>
      <c r="C182" s="23">
        <v>15.7325</v>
      </c>
      <c r="D182" s="23">
        <v>2140</v>
      </c>
      <c r="E182" s="23">
        <v>33667.550000000003</v>
      </c>
    </row>
    <row r="183" spans="1:5" x14ac:dyDescent="0.2">
      <c r="A183" s="23" t="s">
        <v>282</v>
      </c>
      <c r="B183" s="23" t="s">
        <v>315</v>
      </c>
      <c r="C183" s="23">
        <v>11.75</v>
      </c>
      <c r="D183" s="23">
        <v>3790</v>
      </c>
      <c r="E183" s="23">
        <v>44532.5</v>
      </c>
    </row>
    <row r="184" spans="1:5" x14ac:dyDescent="0.2">
      <c r="A184" s="23" t="s">
        <v>282</v>
      </c>
      <c r="B184" s="23" t="s">
        <v>292</v>
      </c>
      <c r="C184" s="23">
        <v>7.1204999999999998</v>
      </c>
      <c r="D184" s="23">
        <v>3850</v>
      </c>
      <c r="E184" s="23">
        <v>27413.93</v>
      </c>
    </row>
    <row r="185" spans="1:5" x14ac:dyDescent="0.2">
      <c r="A185" s="23" t="s">
        <v>280</v>
      </c>
      <c r="B185" s="23" t="s">
        <v>288</v>
      </c>
      <c r="C185" s="23">
        <v>23.01</v>
      </c>
      <c r="D185" s="23">
        <v>1990</v>
      </c>
      <c r="E185" s="23">
        <v>45786.92</v>
      </c>
    </row>
    <row r="186" spans="1:5" x14ac:dyDescent="0.2">
      <c r="A186" s="23" t="s">
        <v>279</v>
      </c>
      <c r="B186" s="23" t="s">
        <v>288</v>
      </c>
      <c r="C186" s="23">
        <v>10.99</v>
      </c>
      <c r="D186" s="23">
        <v>1990</v>
      </c>
      <c r="E186" s="23">
        <v>21864.13</v>
      </c>
    </row>
    <row r="187" spans="1:5" x14ac:dyDescent="0.2">
      <c r="A187" s="23" t="s">
        <v>316</v>
      </c>
      <c r="B187" s="23" t="s">
        <v>311</v>
      </c>
      <c r="C187" s="23">
        <v>24.5</v>
      </c>
      <c r="D187" s="23">
        <v>3880</v>
      </c>
      <c r="E187" s="23">
        <v>95060</v>
      </c>
    </row>
    <row r="188" spans="1:5" x14ac:dyDescent="0.2">
      <c r="A188" s="23" t="s">
        <v>330</v>
      </c>
      <c r="B188" s="23" t="s">
        <v>288</v>
      </c>
      <c r="C188" s="23">
        <v>16.45</v>
      </c>
      <c r="D188" s="23">
        <v>2160</v>
      </c>
      <c r="E188" s="23">
        <v>35532</v>
      </c>
    </row>
    <row r="189" spans="1:5" x14ac:dyDescent="0.2">
      <c r="A189" s="23" t="s">
        <v>282</v>
      </c>
      <c r="B189" s="23" t="s">
        <v>288</v>
      </c>
      <c r="C189" s="23">
        <v>5.6</v>
      </c>
      <c r="D189" s="23">
        <v>2160</v>
      </c>
      <c r="E189" s="23">
        <v>12096</v>
      </c>
    </row>
    <row r="190" spans="1:5" x14ac:dyDescent="0.2">
      <c r="A190" s="23" t="s">
        <v>280</v>
      </c>
      <c r="B190" s="23" t="s">
        <v>288</v>
      </c>
      <c r="C190" s="23">
        <v>8.6999999999999993</v>
      </c>
      <c r="D190" s="23">
        <v>1990</v>
      </c>
      <c r="E190" s="23">
        <v>17303.05</v>
      </c>
    </row>
    <row r="191" spans="1:5" x14ac:dyDescent="0.2">
      <c r="A191" s="23" t="s">
        <v>280</v>
      </c>
      <c r="B191" s="23" t="s">
        <v>288</v>
      </c>
      <c r="C191" s="23">
        <v>18.13</v>
      </c>
      <c r="D191" s="23">
        <v>1990</v>
      </c>
      <c r="E191" s="23">
        <v>36078.699999999997</v>
      </c>
    </row>
    <row r="192" spans="1:5" x14ac:dyDescent="0.2">
      <c r="A192" s="23" t="s">
        <v>280</v>
      </c>
      <c r="B192" s="23" t="s">
        <v>288</v>
      </c>
      <c r="C192" s="23">
        <v>7.46</v>
      </c>
      <c r="D192" s="23">
        <v>1990</v>
      </c>
      <c r="E192" s="23">
        <v>14835.45</v>
      </c>
    </row>
    <row r="193" spans="1:5" x14ac:dyDescent="0.2">
      <c r="A193" s="23" t="s">
        <v>281</v>
      </c>
      <c r="B193" s="23" t="s">
        <v>288</v>
      </c>
      <c r="C193" s="23">
        <v>15.7</v>
      </c>
      <c r="D193" s="23">
        <v>2160</v>
      </c>
      <c r="E193" s="23">
        <v>33907.68</v>
      </c>
    </row>
    <row r="194" spans="1:5" x14ac:dyDescent="0.2">
      <c r="A194" s="23" t="s">
        <v>279</v>
      </c>
      <c r="B194" s="23" t="s">
        <v>288</v>
      </c>
      <c r="C194" s="23">
        <v>6.58</v>
      </c>
      <c r="D194" s="23">
        <v>2160</v>
      </c>
      <c r="E194" s="23">
        <v>14221.44</v>
      </c>
    </row>
    <row r="195" spans="1:5" x14ac:dyDescent="0.2">
      <c r="A195" s="23" t="s">
        <v>331</v>
      </c>
      <c r="B195" s="23" t="s">
        <v>290</v>
      </c>
      <c r="C195" s="23">
        <v>22.72</v>
      </c>
      <c r="D195" s="23">
        <v>2720</v>
      </c>
      <c r="E195" s="23">
        <v>61784.800000000003</v>
      </c>
    </row>
    <row r="196" spans="1:5" x14ac:dyDescent="0.2">
      <c r="A196" s="23" t="s">
        <v>331</v>
      </c>
      <c r="B196" s="23" t="s">
        <v>290</v>
      </c>
      <c r="C196" s="23">
        <v>13.79</v>
      </c>
      <c r="D196" s="23">
        <v>2820</v>
      </c>
      <c r="E196" s="23">
        <v>38887.800000000003</v>
      </c>
    </row>
    <row r="197" spans="1:5" x14ac:dyDescent="0.2">
      <c r="A197" s="23" t="s">
        <v>331</v>
      </c>
      <c r="B197" s="23" t="s">
        <v>290</v>
      </c>
      <c r="C197" s="23">
        <v>8.75</v>
      </c>
      <c r="D197" s="23">
        <v>2820</v>
      </c>
      <c r="E197" s="23">
        <v>24675</v>
      </c>
    </row>
    <row r="198" spans="1:5" x14ac:dyDescent="0.2">
      <c r="A198" s="23" t="s">
        <v>299</v>
      </c>
      <c r="B198" s="23" t="s">
        <v>291</v>
      </c>
      <c r="C198" s="23">
        <v>7.51</v>
      </c>
      <c r="D198" s="23">
        <v>2930</v>
      </c>
      <c r="E198" s="23">
        <v>21992.58</v>
      </c>
    </row>
    <row r="199" spans="1:5" x14ac:dyDescent="0.2">
      <c r="A199" s="23" t="s">
        <v>299</v>
      </c>
      <c r="B199" s="23" t="s">
        <v>291</v>
      </c>
      <c r="C199" s="23">
        <v>23.48</v>
      </c>
      <c r="D199" s="23">
        <v>2930</v>
      </c>
      <c r="E199" s="23">
        <v>68796.399999999994</v>
      </c>
    </row>
    <row r="200" spans="1:5" x14ac:dyDescent="0.2">
      <c r="A200" s="23" t="s">
        <v>282</v>
      </c>
      <c r="B200" s="23" t="s">
        <v>288</v>
      </c>
      <c r="C200" s="23">
        <v>15.14</v>
      </c>
      <c r="D200" s="23">
        <v>1990</v>
      </c>
      <c r="E200" s="23">
        <v>30137.56</v>
      </c>
    </row>
    <row r="201" spans="1:5" x14ac:dyDescent="0.2">
      <c r="A201" s="23" t="s">
        <v>281</v>
      </c>
      <c r="B201" s="23" t="s">
        <v>288</v>
      </c>
      <c r="C201" s="23">
        <v>9</v>
      </c>
      <c r="D201" s="23">
        <v>1990</v>
      </c>
      <c r="E201" s="23">
        <v>17910</v>
      </c>
    </row>
    <row r="202" spans="1:5" x14ac:dyDescent="0.2">
      <c r="A202" s="23" t="s">
        <v>281</v>
      </c>
      <c r="B202" s="23" t="s">
        <v>288</v>
      </c>
      <c r="C202" s="23">
        <v>16.350000000000001</v>
      </c>
      <c r="D202" s="23">
        <v>1990</v>
      </c>
      <c r="E202" s="23">
        <v>32526.55</v>
      </c>
    </row>
    <row r="203" spans="1:5" x14ac:dyDescent="0.2">
      <c r="A203" s="23" t="s">
        <v>283</v>
      </c>
      <c r="B203" s="23" t="s">
        <v>295</v>
      </c>
      <c r="C203" s="23">
        <v>9.5399999999999991</v>
      </c>
      <c r="D203" s="23">
        <v>5010</v>
      </c>
      <c r="E203" s="23">
        <v>47795.4</v>
      </c>
    </row>
    <row r="204" spans="1:5" x14ac:dyDescent="0.2">
      <c r="A204" s="23" t="s">
        <v>283</v>
      </c>
      <c r="B204" s="23" t="s">
        <v>295</v>
      </c>
      <c r="C204" s="23">
        <v>7.64</v>
      </c>
      <c r="D204" s="23">
        <v>5010</v>
      </c>
      <c r="E204" s="23">
        <v>38263.879999999997</v>
      </c>
    </row>
    <row r="205" spans="1:5" x14ac:dyDescent="0.2">
      <c r="A205" s="23" t="s">
        <v>283</v>
      </c>
      <c r="B205" s="23" t="s">
        <v>308</v>
      </c>
      <c r="C205" s="23">
        <v>13.49</v>
      </c>
      <c r="D205" s="23">
        <v>2880</v>
      </c>
      <c r="E205" s="23">
        <v>38848.32</v>
      </c>
    </row>
    <row r="206" spans="1:5" x14ac:dyDescent="0.2">
      <c r="A206" s="23" t="s">
        <v>279</v>
      </c>
      <c r="B206" s="23" t="s">
        <v>291</v>
      </c>
      <c r="C206" s="23">
        <v>25.22</v>
      </c>
      <c r="D206" s="23">
        <v>2930</v>
      </c>
      <c r="E206" s="23">
        <v>73887.28</v>
      </c>
    </row>
    <row r="207" spans="1:5" x14ac:dyDescent="0.2">
      <c r="A207" s="23" t="s">
        <v>316</v>
      </c>
      <c r="B207" s="23" t="s">
        <v>311</v>
      </c>
      <c r="C207" s="23">
        <v>5.52</v>
      </c>
      <c r="D207" s="23">
        <v>3680</v>
      </c>
      <c r="E207" s="23">
        <v>20322.8</v>
      </c>
    </row>
    <row r="208" spans="1:5" x14ac:dyDescent="0.2">
      <c r="A208" s="23" t="s">
        <v>316</v>
      </c>
      <c r="B208" s="23" t="s">
        <v>311</v>
      </c>
      <c r="C208" s="23">
        <v>31.68</v>
      </c>
      <c r="D208" s="23">
        <v>3680</v>
      </c>
      <c r="E208" s="23">
        <v>116575</v>
      </c>
    </row>
    <row r="209" spans="1:5" x14ac:dyDescent="0.2">
      <c r="A209" s="23" t="s">
        <v>279</v>
      </c>
      <c r="B209" s="23" t="s">
        <v>311</v>
      </c>
      <c r="C209" s="23">
        <v>6.44</v>
      </c>
      <c r="D209" s="23">
        <v>3780</v>
      </c>
      <c r="E209" s="23">
        <v>24343.200000000001</v>
      </c>
    </row>
    <row r="210" spans="1:5" x14ac:dyDescent="0.2">
      <c r="A210" s="23" t="s">
        <v>316</v>
      </c>
      <c r="B210" s="23" t="s">
        <v>311</v>
      </c>
      <c r="C210" s="23">
        <v>21</v>
      </c>
      <c r="D210" s="23">
        <v>3780</v>
      </c>
      <c r="E210" s="23">
        <v>79380</v>
      </c>
    </row>
    <row r="211" spans="1:5" x14ac:dyDescent="0.2">
      <c r="A211" s="23" t="s">
        <v>283</v>
      </c>
      <c r="B211" s="23" t="s">
        <v>308</v>
      </c>
      <c r="C211" s="23">
        <v>12.17</v>
      </c>
      <c r="D211" s="23">
        <v>2980</v>
      </c>
      <c r="E211" s="23">
        <v>36275.54</v>
      </c>
    </row>
    <row r="212" spans="1:5" x14ac:dyDescent="0.2">
      <c r="A212" s="23" t="s">
        <v>282</v>
      </c>
      <c r="B212" s="23" t="s">
        <v>308</v>
      </c>
      <c r="C212" s="23">
        <v>5.25</v>
      </c>
      <c r="D212" s="23">
        <v>2980</v>
      </c>
      <c r="E212" s="23">
        <v>15630.1</v>
      </c>
    </row>
    <row r="213" spans="1:5" x14ac:dyDescent="0.2">
      <c r="A213" s="23" t="s">
        <v>279</v>
      </c>
      <c r="B213" s="23" t="s">
        <v>311</v>
      </c>
      <c r="C213" s="23">
        <v>7.05</v>
      </c>
      <c r="D213" s="23">
        <v>3780</v>
      </c>
      <c r="E213" s="23">
        <v>26649</v>
      </c>
    </row>
    <row r="214" spans="1:5" x14ac:dyDescent="0.2">
      <c r="A214" s="23" t="s">
        <v>316</v>
      </c>
      <c r="B214" s="23" t="s">
        <v>311</v>
      </c>
      <c r="C214" s="23">
        <v>25.22</v>
      </c>
      <c r="D214" s="23">
        <v>3780</v>
      </c>
      <c r="E214" s="23">
        <v>95314.59</v>
      </c>
    </row>
    <row r="215" spans="1:5" x14ac:dyDescent="0.2">
      <c r="A215" s="23" t="s">
        <v>283</v>
      </c>
      <c r="B215" s="23" t="s">
        <v>311</v>
      </c>
      <c r="C215" s="23">
        <v>29.51</v>
      </c>
      <c r="D215" s="23">
        <v>3680</v>
      </c>
      <c r="E215" s="23">
        <v>108593.1</v>
      </c>
    </row>
    <row r="216" spans="1:5" x14ac:dyDescent="0.2">
      <c r="A216" s="23" t="s">
        <v>316</v>
      </c>
      <c r="B216" s="23" t="s">
        <v>311</v>
      </c>
      <c r="C216" s="23">
        <v>7.33</v>
      </c>
      <c r="D216" s="23">
        <v>3680</v>
      </c>
      <c r="E216" s="23">
        <v>26959.68</v>
      </c>
    </row>
    <row r="217" spans="1:5" x14ac:dyDescent="0.2">
      <c r="A217" s="23" t="s">
        <v>299</v>
      </c>
      <c r="B217" s="23" t="s">
        <v>291</v>
      </c>
      <c r="C217" s="23">
        <v>22.51</v>
      </c>
      <c r="D217" s="23">
        <v>2930</v>
      </c>
      <c r="E217" s="23">
        <v>65963.09</v>
      </c>
    </row>
    <row r="218" spans="1:5" x14ac:dyDescent="0.2">
      <c r="A218" s="23" t="s">
        <v>299</v>
      </c>
      <c r="B218" s="23" t="s">
        <v>297</v>
      </c>
      <c r="C218" s="23">
        <v>10.15</v>
      </c>
      <c r="D218" s="23">
        <v>2930</v>
      </c>
      <c r="E218" s="23">
        <v>29739.5</v>
      </c>
    </row>
    <row r="219" spans="1:5" x14ac:dyDescent="0.2">
      <c r="A219" s="23" t="s">
        <v>332</v>
      </c>
      <c r="B219" s="23" t="s">
        <v>333</v>
      </c>
      <c r="C219" s="23">
        <v>23.44</v>
      </c>
      <c r="D219" s="23">
        <v>4570</v>
      </c>
      <c r="E219" s="23">
        <v>107098</v>
      </c>
    </row>
    <row r="220" spans="1:5" x14ac:dyDescent="0.2">
      <c r="A220" s="23" t="s">
        <v>283</v>
      </c>
      <c r="B220" s="23" t="s">
        <v>295</v>
      </c>
      <c r="C220" s="23">
        <v>10.27</v>
      </c>
      <c r="D220" s="23">
        <v>4940</v>
      </c>
      <c r="E220" s="23">
        <v>50733.8</v>
      </c>
    </row>
    <row r="221" spans="1:5" x14ac:dyDescent="0.2">
      <c r="A221" s="23" t="s">
        <v>281</v>
      </c>
      <c r="B221" s="23" t="s">
        <v>325</v>
      </c>
      <c r="C221" s="23">
        <v>35.51</v>
      </c>
      <c r="D221" s="23">
        <v>1840</v>
      </c>
      <c r="E221" s="23">
        <v>65335.64</v>
      </c>
    </row>
    <row r="222" spans="1:5" x14ac:dyDescent="0.2">
      <c r="A222" s="23" t="s">
        <v>302</v>
      </c>
      <c r="B222" s="23" t="s">
        <v>319</v>
      </c>
      <c r="C222" s="23">
        <v>18.149999999999999</v>
      </c>
      <c r="D222" s="23">
        <v>3250</v>
      </c>
      <c r="E222" s="23">
        <v>58982.63</v>
      </c>
    </row>
    <row r="223" spans="1:5" x14ac:dyDescent="0.2">
      <c r="A223" s="23" t="s">
        <v>279</v>
      </c>
      <c r="B223" s="23" t="s">
        <v>291</v>
      </c>
      <c r="C223" s="23">
        <v>36.020000000000003</v>
      </c>
      <c r="D223" s="23">
        <v>2830</v>
      </c>
      <c r="E223" s="23">
        <v>101925.3</v>
      </c>
    </row>
    <row r="224" spans="1:5" x14ac:dyDescent="0.2">
      <c r="A224" s="23" t="s">
        <v>281</v>
      </c>
      <c r="B224" s="23" t="s">
        <v>288</v>
      </c>
      <c r="C224" s="23">
        <v>19.920000000000002</v>
      </c>
      <c r="D224" s="23">
        <v>1990</v>
      </c>
      <c r="E224" s="23">
        <v>39630.85</v>
      </c>
    </row>
    <row r="225" spans="1:5" x14ac:dyDescent="0.2">
      <c r="A225" s="23" t="s">
        <v>282</v>
      </c>
      <c r="B225" s="23" t="s">
        <v>288</v>
      </c>
      <c r="C225" s="23">
        <v>14.69</v>
      </c>
      <c r="D225" s="23">
        <v>1990</v>
      </c>
      <c r="E225" s="23">
        <v>29225.14</v>
      </c>
    </row>
    <row r="226" spans="1:5" x14ac:dyDescent="0.2">
      <c r="A226" s="23" t="s">
        <v>330</v>
      </c>
      <c r="B226" s="23" t="s">
        <v>334</v>
      </c>
      <c r="C226" s="23">
        <v>8.19</v>
      </c>
      <c r="D226" s="23">
        <v>5600</v>
      </c>
      <c r="E226" s="23">
        <v>45836.56</v>
      </c>
    </row>
    <row r="227" spans="1:5" x14ac:dyDescent="0.2">
      <c r="A227" s="23" t="s">
        <v>299</v>
      </c>
      <c r="B227" s="23" t="s">
        <v>321</v>
      </c>
      <c r="C227" s="23">
        <v>10.8</v>
      </c>
      <c r="D227" s="23">
        <v>5320</v>
      </c>
      <c r="E227" s="23">
        <v>57429.4</v>
      </c>
    </row>
    <row r="228" spans="1:5" x14ac:dyDescent="0.2">
      <c r="A228" s="23" t="s">
        <v>302</v>
      </c>
      <c r="B228" s="23" t="s">
        <v>319</v>
      </c>
      <c r="C228" s="23">
        <v>10.130000000000001</v>
      </c>
      <c r="D228" s="23">
        <v>3250</v>
      </c>
      <c r="E228" s="23">
        <v>32917.629999999997</v>
      </c>
    </row>
    <row r="229" spans="1:5" x14ac:dyDescent="0.2">
      <c r="A229" s="23" t="s">
        <v>335</v>
      </c>
      <c r="B229" s="23" t="s">
        <v>319</v>
      </c>
      <c r="C229" s="23">
        <v>8</v>
      </c>
      <c r="D229" s="23">
        <v>3250</v>
      </c>
      <c r="E229" s="23">
        <v>25991.88</v>
      </c>
    </row>
    <row r="230" spans="1:5" x14ac:dyDescent="0.2">
      <c r="A230" s="23" t="s">
        <v>279</v>
      </c>
      <c r="B230" s="23" t="s">
        <v>317</v>
      </c>
      <c r="C230" s="23">
        <v>3.99</v>
      </c>
      <c r="D230" s="23">
        <v>3370</v>
      </c>
      <c r="E230" s="23">
        <v>13446.3</v>
      </c>
    </row>
    <row r="231" spans="1:5" x14ac:dyDescent="0.2">
      <c r="A231" s="23" t="s">
        <v>302</v>
      </c>
      <c r="B231" s="23" t="s">
        <v>319</v>
      </c>
      <c r="C231" s="23">
        <v>17.989999999999998</v>
      </c>
      <c r="D231" s="23">
        <v>3350</v>
      </c>
      <c r="E231" s="23">
        <v>60266.5</v>
      </c>
    </row>
    <row r="232" spans="1:5" x14ac:dyDescent="0.2">
      <c r="A232" s="23" t="s">
        <v>279</v>
      </c>
      <c r="B232" s="23" t="s">
        <v>317</v>
      </c>
      <c r="C232" s="23">
        <v>4.63</v>
      </c>
      <c r="D232" s="23">
        <v>3270</v>
      </c>
      <c r="E232" s="23">
        <v>15140.1</v>
      </c>
    </row>
    <row r="233" spans="1:5" x14ac:dyDescent="0.2">
      <c r="A233" s="23" t="s">
        <v>279</v>
      </c>
      <c r="B233" s="23" t="s">
        <v>317</v>
      </c>
      <c r="C233" s="23">
        <v>7</v>
      </c>
      <c r="D233" s="23">
        <v>3270</v>
      </c>
      <c r="E233" s="23">
        <v>22890</v>
      </c>
    </row>
    <row r="234" spans="1:5" x14ac:dyDescent="0.2">
      <c r="A234" s="23" t="s">
        <v>279</v>
      </c>
      <c r="B234" s="23" t="s">
        <v>317</v>
      </c>
      <c r="C234" s="23">
        <v>7</v>
      </c>
      <c r="D234" s="23">
        <v>3270</v>
      </c>
      <c r="E234" s="23">
        <v>22890</v>
      </c>
    </row>
    <row r="235" spans="1:5" x14ac:dyDescent="0.2">
      <c r="A235" s="23" t="s">
        <v>279</v>
      </c>
      <c r="B235" s="23" t="s">
        <v>290</v>
      </c>
      <c r="C235" s="23">
        <v>20.37</v>
      </c>
      <c r="D235" s="23">
        <v>2720</v>
      </c>
      <c r="E235" s="23">
        <v>55406.400000000001</v>
      </c>
    </row>
    <row r="236" spans="1:5" x14ac:dyDescent="0.2">
      <c r="A236" s="23" t="s">
        <v>279</v>
      </c>
      <c r="B236" s="23" t="s">
        <v>290</v>
      </c>
      <c r="C236" s="23">
        <v>13.59</v>
      </c>
      <c r="D236" s="23">
        <v>2820</v>
      </c>
      <c r="E236" s="23">
        <v>38318.160000000003</v>
      </c>
    </row>
    <row r="237" spans="1:5" x14ac:dyDescent="0.2">
      <c r="A237" s="23" t="s">
        <v>279</v>
      </c>
      <c r="B237" s="23" t="s">
        <v>290</v>
      </c>
      <c r="C237" s="23">
        <v>6.8</v>
      </c>
      <c r="D237" s="23">
        <v>2820</v>
      </c>
      <c r="E237" s="23">
        <v>19184.46</v>
      </c>
    </row>
    <row r="238" spans="1:5" x14ac:dyDescent="0.2">
      <c r="A238" s="23" t="s">
        <v>281</v>
      </c>
      <c r="B238" s="23" t="s">
        <v>336</v>
      </c>
      <c r="C238" s="23">
        <v>6.88</v>
      </c>
      <c r="D238" s="23">
        <v>3010</v>
      </c>
      <c r="E238" s="23">
        <v>20693.75</v>
      </c>
    </row>
    <row r="239" spans="1:5" x14ac:dyDescent="0.2">
      <c r="A239" s="23" t="s">
        <v>299</v>
      </c>
      <c r="B239" s="23" t="s">
        <v>291</v>
      </c>
      <c r="C239" s="23">
        <v>13.76</v>
      </c>
      <c r="D239" s="23">
        <v>3040</v>
      </c>
      <c r="E239" s="23">
        <v>41838</v>
      </c>
    </row>
    <row r="240" spans="1:5" x14ac:dyDescent="0.2">
      <c r="A240" s="23" t="s">
        <v>279</v>
      </c>
      <c r="B240" s="23" t="s">
        <v>290</v>
      </c>
      <c r="C240" s="23">
        <v>20.3</v>
      </c>
      <c r="D240" s="23">
        <v>2720</v>
      </c>
      <c r="E240" s="23">
        <v>55207.839999999997</v>
      </c>
    </row>
    <row r="241" spans="1:5" x14ac:dyDescent="0.2">
      <c r="A241" s="23" t="s">
        <v>299</v>
      </c>
      <c r="B241" s="23" t="s">
        <v>291</v>
      </c>
      <c r="C241" s="23">
        <v>5.81</v>
      </c>
      <c r="D241" s="23">
        <v>2830</v>
      </c>
      <c r="E241" s="23">
        <v>16442.3</v>
      </c>
    </row>
    <row r="242" spans="1:5" x14ac:dyDescent="0.2">
      <c r="A242" s="23" t="s">
        <v>302</v>
      </c>
      <c r="B242" s="23" t="s">
        <v>291</v>
      </c>
      <c r="C242" s="23">
        <v>29.6</v>
      </c>
      <c r="D242" s="23">
        <v>2830</v>
      </c>
      <c r="E242" s="23">
        <v>83768</v>
      </c>
    </row>
    <row r="243" spans="1:5" ht="17" x14ac:dyDescent="0.2">
      <c r="A243" s="13" t="s">
        <v>279</v>
      </c>
      <c r="B243" s="13" t="s">
        <v>317</v>
      </c>
      <c r="C243" s="17">
        <v>3.8849999999999998</v>
      </c>
      <c r="D243" s="26">
        <v>3040</v>
      </c>
      <c r="E243" s="4">
        <f>C243*D243</f>
        <v>11810.4</v>
      </c>
    </row>
    <row r="244" spans="1:5" ht="17" x14ac:dyDescent="0.2">
      <c r="A244" s="13" t="s">
        <v>304</v>
      </c>
      <c r="B244" s="13" t="s">
        <v>297</v>
      </c>
      <c r="C244" s="17">
        <v>34.496000000000002</v>
      </c>
      <c r="D244" s="26">
        <v>2930</v>
      </c>
      <c r="E244" s="4">
        <f>C244*D244</f>
        <v>101073.28000000001</v>
      </c>
    </row>
    <row r="245" spans="1:5" ht="17" x14ac:dyDescent="0.2">
      <c r="A245" s="13" t="s">
        <v>282</v>
      </c>
      <c r="B245" s="13" t="s">
        <v>291</v>
      </c>
      <c r="C245" s="17">
        <v>12.92</v>
      </c>
      <c r="D245" s="26">
        <v>2830</v>
      </c>
      <c r="E245" s="4">
        <f>C245*D245</f>
        <v>36563.599999999999</v>
      </c>
    </row>
    <row r="246" spans="1:5" ht="17" x14ac:dyDescent="0.2">
      <c r="A246" s="13" t="s">
        <v>316</v>
      </c>
      <c r="B246" s="13" t="s">
        <v>291</v>
      </c>
      <c r="C246" s="17">
        <v>25.168500000000002</v>
      </c>
      <c r="D246" s="26">
        <v>2830</v>
      </c>
      <c r="E246" s="4">
        <f>C246*D246</f>
        <v>71226.85500000001</v>
      </c>
    </row>
    <row r="247" spans="1:5" ht="17" x14ac:dyDescent="0.2">
      <c r="A247" s="13" t="s">
        <v>302</v>
      </c>
      <c r="B247" s="13" t="s">
        <v>309</v>
      </c>
      <c r="C247" s="17">
        <v>6.2324999999999999</v>
      </c>
      <c r="D247" s="26">
        <v>2890</v>
      </c>
      <c r="E247" s="4">
        <f>C247*D247</f>
        <v>18011.924999999999</v>
      </c>
    </row>
    <row r="248" spans="1:5" ht="17" x14ac:dyDescent="0.2">
      <c r="A248" s="13" t="s">
        <v>299</v>
      </c>
      <c r="B248" s="13" t="s">
        <v>291</v>
      </c>
      <c r="C248" s="17">
        <v>21.395</v>
      </c>
      <c r="D248" s="26">
        <v>2930</v>
      </c>
      <c r="E248" s="4">
        <f>C248*D248</f>
        <v>62687.35</v>
      </c>
    </row>
    <row r="249" spans="1:5" ht="17" x14ac:dyDescent="0.2">
      <c r="A249" s="13" t="s">
        <v>299</v>
      </c>
      <c r="B249" s="13" t="s">
        <v>291</v>
      </c>
      <c r="C249" s="17">
        <v>7.86</v>
      </c>
      <c r="D249" s="26">
        <v>2930</v>
      </c>
      <c r="E249" s="4">
        <f>C249*D249</f>
        <v>23029.8</v>
      </c>
    </row>
    <row r="250" spans="1:5" ht="17" x14ac:dyDescent="0.2">
      <c r="A250" s="13" t="s">
        <v>302</v>
      </c>
      <c r="B250" s="13" t="s">
        <v>291</v>
      </c>
      <c r="C250" s="17">
        <v>11.22</v>
      </c>
      <c r="D250" s="26">
        <v>2830</v>
      </c>
      <c r="E250" s="4">
        <f>C250*D250</f>
        <v>31752.600000000002</v>
      </c>
    </row>
    <row r="251" spans="1:5" ht="17" x14ac:dyDescent="0.2">
      <c r="A251" s="18" t="s">
        <v>302</v>
      </c>
      <c r="B251" s="13" t="s">
        <v>291</v>
      </c>
      <c r="C251" s="17">
        <v>23.265000000000001</v>
      </c>
      <c r="D251" s="26">
        <v>2830</v>
      </c>
      <c r="E251" s="4">
        <f>C251*D251</f>
        <v>65839.95</v>
      </c>
    </row>
    <row r="252" spans="1:5" ht="17" x14ac:dyDescent="0.2">
      <c r="A252" s="18" t="s">
        <v>302</v>
      </c>
      <c r="B252" s="13" t="s">
        <v>291</v>
      </c>
      <c r="C252" s="17">
        <v>31.325500000000002</v>
      </c>
      <c r="D252" s="26">
        <v>2830</v>
      </c>
      <c r="E252" s="4">
        <f>C252*D252</f>
        <v>88651.165000000008</v>
      </c>
    </row>
    <row r="253" spans="1:5" ht="17" x14ac:dyDescent="0.2">
      <c r="A253" s="18" t="s">
        <v>304</v>
      </c>
      <c r="B253" s="13" t="s">
        <v>291</v>
      </c>
      <c r="C253" s="17">
        <v>27.95</v>
      </c>
      <c r="D253" s="26">
        <v>2930</v>
      </c>
      <c r="E253" s="4">
        <f>C253*D253</f>
        <v>81893.5</v>
      </c>
    </row>
    <row r="254" spans="1:5" ht="17" x14ac:dyDescent="0.2">
      <c r="A254" s="18" t="s">
        <v>302</v>
      </c>
      <c r="B254" s="13" t="s">
        <v>291</v>
      </c>
      <c r="C254" s="17">
        <v>5.5655000000000001</v>
      </c>
      <c r="D254" s="26">
        <v>2930</v>
      </c>
      <c r="E254" s="4">
        <f>C254*D254</f>
        <v>16306.915000000001</v>
      </c>
    </row>
    <row r="255" spans="1:5" ht="17" x14ac:dyDescent="0.2">
      <c r="A255" s="18" t="s">
        <v>300</v>
      </c>
      <c r="B255" s="13" t="s">
        <v>307</v>
      </c>
      <c r="C255" s="17">
        <v>21.2484</v>
      </c>
      <c r="D255" s="26">
        <v>2780</v>
      </c>
      <c r="E255" s="4">
        <f>C255*D255</f>
        <v>59070.552000000003</v>
      </c>
    </row>
    <row r="256" spans="1:5" ht="17" x14ac:dyDescent="0.2">
      <c r="A256" s="18" t="s">
        <v>283</v>
      </c>
      <c r="B256" s="13" t="s">
        <v>311</v>
      </c>
      <c r="C256" s="17">
        <v>13.01</v>
      </c>
      <c r="D256" s="26">
        <v>3680</v>
      </c>
      <c r="E256" s="4">
        <f>C256*D256</f>
        <v>47876.799999999996</v>
      </c>
    </row>
    <row r="257" spans="1:5" ht="17" x14ac:dyDescent="0.2">
      <c r="A257" s="18" t="s">
        <v>279</v>
      </c>
      <c r="B257" s="13" t="s">
        <v>311</v>
      </c>
      <c r="C257" s="17">
        <v>28.128499999999999</v>
      </c>
      <c r="D257" s="26">
        <v>3680</v>
      </c>
      <c r="E257" s="4">
        <f>C257*D257</f>
        <v>103512.87999999999</v>
      </c>
    </row>
    <row r="258" spans="1:5" ht="17" x14ac:dyDescent="0.2">
      <c r="A258" s="18" t="s">
        <v>283</v>
      </c>
      <c r="B258" s="13" t="s">
        <v>318</v>
      </c>
      <c r="C258" s="17">
        <v>4.3944999999999999</v>
      </c>
      <c r="D258" s="26">
        <v>5250</v>
      </c>
      <c r="E258" s="4">
        <f>C258*D258</f>
        <v>23071.125</v>
      </c>
    </row>
    <row r="259" spans="1:5" ht="17" x14ac:dyDescent="0.2">
      <c r="A259" s="18" t="s">
        <v>279</v>
      </c>
      <c r="B259" s="13" t="s">
        <v>318</v>
      </c>
      <c r="C259" s="17">
        <v>13.935499999999999</v>
      </c>
      <c r="D259" s="26">
        <v>5250</v>
      </c>
      <c r="E259" s="4">
        <f>C259*D259</f>
        <v>73161.375</v>
      </c>
    </row>
    <row r="260" spans="1:5" ht="17" x14ac:dyDescent="0.2">
      <c r="A260" s="18" t="s">
        <v>301</v>
      </c>
      <c r="B260" s="13" t="s">
        <v>307</v>
      </c>
      <c r="C260" s="17">
        <v>16.975000000000001</v>
      </c>
      <c r="D260" s="26">
        <v>2780</v>
      </c>
      <c r="E260" s="4">
        <f>C260*D260</f>
        <v>47190.500000000007</v>
      </c>
    </row>
    <row r="261" spans="1:5" ht="17" x14ac:dyDescent="0.2">
      <c r="A261" s="18" t="s">
        <v>301</v>
      </c>
      <c r="B261" s="13" t="s">
        <v>307</v>
      </c>
      <c r="C261" s="17">
        <v>18.024999999999999</v>
      </c>
      <c r="D261" s="26">
        <v>2780</v>
      </c>
      <c r="E261" s="4">
        <f>C261*D261</f>
        <v>50109.499999999993</v>
      </c>
    </row>
    <row r="262" spans="1:5" ht="17" x14ac:dyDescent="0.2">
      <c r="A262" s="18" t="s">
        <v>279</v>
      </c>
      <c r="B262" s="13" t="s">
        <v>295</v>
      </c>
      <c r="C262" s="17">
        <v>15.744999999999999</v>
      </c>
      <c r="D262" s="26">
        <v>5010</v>
      </c>
      <c r="E262" s="4">
        <f>C262*D262</f>
        <v>78882.45</v>
      </c>
    </row>
    <row r="263" spans="1:5" ht="17" x14ac:dyDescent="0.2">
      <c r="A263" s="18" t="s">
        <v>302</v>
      </c>
      <c r="B263" s="13" t="s">
        <v>315</v>
      </c>
      <c r="C263" s="17">
        <v>18.212499999999999</v>
      </c>
      <c r="D263" s="26">
        <v>3690</v>
      </c>
      <c r="E263" s="4">
        <f>C263*D263</f>
        <v>67204.125</v>
      </c>
    </row>
    <row r="264" spans="1:5" ht="17" x14ac:dyDescent="0.2">
      <c r="A264" s="18" t="s">
        <v>282</v>
      </c>
      <c r="B264" s="13" t="s">
        <v>292</v>
      </c>
      <c r="C264" s="17">
        <v>19.260000000000002</v>
      </c>
      <c r="D264" s="26">
        <v>3750</v>
      </c>
      <c r="E264" s="4">
        <f>C264*D264</f>
        <v>72225</v>
      </c>
    </row>
    <row r="265" spans="1:5" ht="17" x14ac:dyDescent="0.2">
      <c r="A265" s="18" t="s">
        <v>304</v>
      </c>
      <c r="B265" s="13" t="s">
        <v>297</v>
      </c>
      <c r="C265" s="17">
        <v>14.3895</v>
      </c>
      <c r="D265" s="26">
        <v>3040</v>
      </c>
      <c r="E265" s="4">
        <f>C265*D265</f>
        <v>43744.08</v>
      </c>
    </row>
    <row r="266" spans="1:5" ht="17" x14ac:dyDescent="0.2">
      <c r="A266" s="18" t="s">
        <v>316</v>
      </c>
      <c r="B266" s="13" t="s">
        <v>291</v>
      </c>
      <c r="C266" s="17">
        <v>7.99</v>
      </c>
      <c r="D266" s="26">
        <v>3040</v>
      </c>
      <c r="E266" s="4">
        <f>C266*D266</f>
        <v>24289.600000000002</v>
      </c>
    </row>
    <row r="267" spans="1:5" ht="17" x14ac:dyDescent="0.2">
      <c r="A267" s="13" t="s">
        <v>283</v>
      </c>
      <c r="B267" s="13" t="s">
        <v>292</v>
      </c>
      <c r="C267" s="17">
        <v>7.9195000000000002</v>
      </c>
      <c r="D267" s="26">
        <v>3750</v>
      </c>
      <c r="E267" s="4">
        <f>C267*D267</f>
        <v>29698.125</v>
      </c>
    </row>
    <row r="268" spans="1:5" ht="17" x14ac:dyDescent="0.2">
      <c r="A268" s="13" t="s">
        <v>282</v>
      </c>
      <c r="B268" s="13" t="s">
        <v>292</v>
      </c>
      <c r="C268" s="17">
        <v>8.7420000000000009</v>
      </c>
      <c r="D268" s="26">
        <v>3750</v>
      </c>
      <c r="E268" s="4">
        <f>C268*D268</f>
        <v>32782.5</v>
      </c>
    </row>
    <row r="269" spans="1:5" ht="17" x14ac:dyDescent="0.2">
      <c r="A269" s="13" t="s">
        <v>316</v>
      </c>
      <c r="B269" s="13" t="s">
        <v>311</v>
      </c>
      <c r="C269" s="17">
        <v>21.96</v>
      </c>
      <c r="D269" s="26">
        <v>3780</v>
      </c>
      <c r="E269" s="4">
        <f>C269*D269</f>
        <v>83008.800000000003</v>
      </c>
    </row>
    <row r="270" spans="1:5" ht="17" x14ac:dyDescent="0.2">
      <c r="A270" s="13" t="s">
        <v>316</v>
      </c>
      <c r="B270" s="13" t="s">
        <v>311</v>
      </c>
      <c r="C270" s="17">
        <v>16.475000000000001</v>
      </c>
      <c r="D270" s="26">
        <v>3780</v>
      </c>
      <c r="E270" s="4">
        <f>C270*D270</f>
        <v>62275.500000000007</v>
      </c>
    </row>
    <row r="271" spans="1:5" ht="17" x14ac:dyDescent="0.2">
      <c r="A271" s="18" t="s">
        <v>302</v>
      </c>
      <c r="B271" s="13" t="s">
        <v>319</v>
      </c>
      <c r="C271" s="17">
        <v>5.0054999999999996</v>
      </c>
      <c r="D271" s="26">
        <v>2870</v>
      </c>
      <c r="E271" s="4">
        <f>C271*D271</f>
        <v>14365.784999999998</v>
      </c>
    </row>
    <row r="272" spans="1:5" ht="17" x14ac:dyDescent="0.2">
      <c r="A272" s="18" t="s">
        <v>302</v>
      </c>
      <c r="B272" s="13" t="s">
        <v>319</v>
      </c>
      <c r="C272" s="17">
        <v>33.024999999999999</v>
      </c>
      <c r="D272" s="26">
        <v>2870</v>
      </c>
      <c r="E272" s="4">
        <f>C272*D272</f>
        <v>94781.75</v>
      </c>
    </row>
    <row r="273" spans="1:5" ht="17" x14ac:dyDescent="0.2">
      <c r="A273" s="18" t="s">
        <v>279</v>
      </c>
      <c r="B273" s="13" t="s">
        <v>317</v>
      </c>
      <c r="C273" s="17">
        <v>40.89</v>
      </c>
      <c r="D273" s="26">
        <v>2940</v>
      </c>
      <c r="E273" s="4">
        <f>C273*D273</f>
        <v>120216.6</v>
      </c>
    </row>
    <row r="274" spans="1:5" ht="17" x14ac:dyDescent="0.2">
      <c r="A274" s="18" t="s">
        <v>283</v>
      </c>
      <c r="B274" s="13" t="s">
        <v>311</v>
      </c>
      <c r="C274" s="17">
        <v>18.184999999999999</v>
      </c>
      <c r="D274" s="26">
        <v>3880</v>
      </c>
      <c r="E274" s="4">
        <f>C274*D274</f>
        <v>70557.799999999988</v>
      </c>
    </row>
    <row r="275" spans="1:5" ht="17" x14ac:dyDescent="0.2">
      <c r="A275" s="18" t="s">
        <v>281</v>
      </c>
      <c r="B275" s="13" t="s">
        <v>290</v>
      </c>
      <c r="C275" s="17">
        <v>6.6</v>
      </c>
      <c r="D275" s="26">
        <v>2720</v>
      </c>
      <c r="E275" s="4">
        <f>C275*D275</f>
        <v>17952</v>
      </c>
    </row>
    <row r="276" spans="1:5" ht="17" x14ac:dyDescent="0.2">
      <c r="A276" s="18" t="s">
        <v>279</v>
      </c>
      <c r="B276" s="13" t="s">
        <v>290</v>
      </c>
      <c r="C276" s="17">
        <v>13.335000000000001</v>
      </c>
      <c r="D276" s="26">
        <v>2720</v>
      </c>
      <c r="E276" s="4">
        <f>C276*D276</f>
        <v>36271.200000000004</v>
      </c>
    </row>
    <row r="277" spans="1:5" ht="17" x14ac:dyDescent="0.2">
      <c r="A277" s="18" t="s">
        <v>283</v>
      </c>
      <c r="B277" s="13" t="s">
        <v>295</v>
      </c>
      <c r="C277" s="17">
        <v>32.462499999999999</v>
      </c>
      <c r="D277" s="26">
        <v>4840</v>
      </c>
      <c r="E277" s="4">
        <f>C277*D277</f>
        <v>157118.5</v>
      </c>
    </row>
    <row r="278" spans="1:5" ht="17" x14ac:dyDescent="0.2">
      <c r="A278" s="18" t="s">
        <v>279</v>
      </c>
      <c r="B278" s="20" t="s">
        <v>315</v>
      </c>
      <c r="C278" s="17">
        <v>17.39</v>
      </c>
      <c r="D278" s="26">
        <v>3690</v>
      </c>
      <c r="E278" s="4">
        <f>C278*D278</f>
        <v>64169.1</v>
      </c>
    </row>
    <row r="279" spans="1:5" ht="17" x14ac:dyDescent="0.2">
      <c r="A279" s="18" t="s">
        <v>279</v>
      </c>
      <c r="B279" s="20" t="s">
        <v>290</v>
      </c>
      <c r="C279" s="17">
        <v>22.785</v>
      </c>
      <c r="D279" s="26">
        <v>2720</v>
      </c>
      <c r="E279" s="4">
        <f>C279*D279</f>
        <v>61975.199999999997</v>
      </c>
    </row>
    <row r="280" spans="1:5" ht="17" x14ac:dyDescent="0.2">
      <c r="A280" s="18" t="s">
        <v>283</v>
      </c>
      <c r="B280" s="13" t="s">
        <v>292</v>
      </c>
      <c r="C280" s="17">
        <v>19.385000000000002</v>
      </c>
      <c r="D280" s="26">
        <v>3750</v>
      </c>
      <c r="E280" s="4">
        <f>C280*D280</f>
        <v>72693.75</v>
      </c>
    </row>
    <row r="281" spans="1:5" ht="17" x14ac:dyDescent="0.2">
      <c r="A281" s="18" t="s">
        <v>279</v>
      </c>
      <c r="B281" s="13" t="s">
        <v>320</v>
      </c>
      <c r="C281" s="17">
        <v>19.05</v>
      </c>
      <c r="D281" s="26">
        <v>2090</v>
      </c>
      <c r="E281" s="4">
        <f>C281*D281</f>
        <v>39814.5</v>
      </c>
    </row>
    <row r="282" spans="1:5" ht="17" x14ac:dyDescent="0.2">
      <c r="A282" s="18" t="s">
        <v>279</v>
      </c>
      <c r="B282" s="13" t="s">
        <v>320</v>
      </c>
      <c r="C282" s="17">
        <v>7.05</v>
      </c>
      <c r="D282" s="26">
        <v>2090</v>
      </c>
      <c r="E282" s="4">
        <f>C282*D282</f>
        <v>14734.5</v>
      </c>
    </row>
    <row r="283" spans="1:5" ht="17" x14ac:dyDescent="0.2">
      <c r="A283" s="18" t="s">
        <v>299</v>
      </c>
      <c r="B283" s="13" t="s">
        <v>312</v>
      </c>
      <c r="C283" s="17">
        <v>16.9955</v>
      </c>
      <c r="D283" s="26">
        <v>3690</v>
      </c>
      <c r="E283" s="4">
        <f>C283*D283</f>
        <v>62713.394999999997</v>
      </c>
    </row>
    <row r="284" spans="1:5" ht="17" x14ac:dyDescent="0.2">
      <c r="A284" s="18" t="s">
        <v>299</v>
      </c>
      <c r="B284" s="13" t="s">
        <v>312</v>
      </c>
      <c r="C284" s="17">
        <v>8.3895</v>
      </c>
      <c r="D284" s="26">
        <v>3790</v>
      </c>
      <c r="E284" s="4">
        <f>C284*D284</f>
        <v>31796.204999999998</v>
      </c>
    </row>
    <row r="285" spans="1:5" ht="17" x14ac:dyDescent="0.2">
      <c r="A285" s="18" t="s">
        <v>283</v>
      </c>
      <c r="B285" s="13" t="s">
        <v>292</v>
      </c>
      <c r="C285" s="17">
        <v>8.5649999999999995</v>
      </c>
      <c r="D285" s="26">
        <v>3850</v>
      </c>
      <c r="E285" s="4">
        <f>C285*D285</f>
        <v>32975.25</v>
      </c>
    </row>
    <row r="286" spans="1:5" ht="17" x14ac:dyDescent="0.2">
      <c r="A286" s="18" t="s">
        <v>279</v>
      </c>
      <c r="B286" s="13" t="s">
        <v>297</v>
      </c>
      <c r="C286" s="17">
        <v>21.811499999999999</v>
      </c>
      <c r="D286" s="26">
        <v>2930</v>
      </c>
      <c r="E286" s="4">
        <f>C286*D286</f>
        <v>63907.695</v>
      </c>
    </row>
    <row r="287" spans="1:5" ht="17" x14ac:dyDescent="0.2">
      <c r="A287" s="18" t="s">
        <v>279</v>
      </c>
      <c r="B287" s="13" t="s">
        <v>291</v>
      </c>
      <c r="C287" s="17">
        <v>7.95</v>
      </c>
      <c r="D287" s="26">
        <v>2930</v>
      </c>
      <c r="E287" s="4">
        <f>C287*D287</f>
        <v>23293.5</v>
      </c>
    </row>
    <row r="288" spans="1:5" ht="17" x14ac:dyDescent="0.2">
      <c r="A288" s="18" t="s">
        <v>299</v>
      </c>
      <c r="B288" s="13" t="s">
        <v>321</v>
      </c>
      <c r="C288" s="17">
        <v>7.2850000000000001</v>
      </c>
      <c r="D288" s="26">
        <v>5220</v>
      </c>
      <c r="E288" s="4">
        <f>C288*D288</f>
        <v>38027.700000000004</v>
      </c>
    </row>
    <row r="289" spans="1:5" ht="17" x14ac:dyDescent="0.2">
      <c r="A289" s="18" t="s">
        <v>283</v>
      </c>
      <c r="B289" s="13" t="s">
        <v>321</v>
      </c>
      <c r="C289" s="17">
        <v>15.593500000000001</v>
      </c>
      <c r="D289" s="26">
        <v>5220</v>
      </c>
      <c r="E289" s="4">
        <f>C289*D289</f>
        <v>81398.070000000007</v>
      </c>
    </row>
    <row r="290" spans="1:5" ht="17" x14ac:dyDescent="0.2">
      <c r="A290" s="18" t="s">
        <v>279</v>
      </c>
      <c r="B290" s="13" t="s">
        <v>317</v>
      </c>
      <c r="C290" s="17">
        <v>14.074999999999999</v>
      </c>
      <c r="D290" s="26">
        <v>3530</v>
      </c>
      <c r="E290" s="4">
        <f>C290*D290</f>
        <v>49684.75</v>
      </c>
    </row>
    <row r="291" spans="1:5" ht="17" x14ac:dyDescent="0.2">
      <c r="A291" s="18" t="s">
        <v>282</v>
      </c>
      <c r="B291" s="13" t="s">
        <v>319</v>
      </c>
      <c r="C291" s="17">
        <v>4.2534999999999998</v>
      </c>
      <c r="D291" s="26">
        <v>3510</v>
      </c>
      <c r="E291" s="4">
        <f>C291*D291</f>
        <v>14929.785</v>
      </c>
    </row>
    <row r="292" spans="1:5" ht="17" x14ac:dyDescent="0.2">
      <c r="A292" s="18" t="s">
        <v>279</v>
      </c>
      <c r="B292" s="13" t="s">
        <v>290</v>
      </c>
      <c r="C292" s="17">
        <v>7.28</v>
      </c>
      <c r="D292" s="26">
        <v>2940</v>
      </c>
      <c r="E292" s="4">
        <f>C292*D292</f>
        <v>21403.200000000001</v>
      </c>
    </row>
    <row r="293" spans="1:5" ht="17" x14ac:dyDescent="0.2">
      <c r="A293" s="18" t="s">
        <v>279</v>
      </c>
      <c r="B293" s="13" t="s">
        <v>290</v>
      </c>
      <c r="C293" s="17">
        <v>8.94</v>
      </c>
      <c r="D293" s="26">
        <v>2940</v>
      </c>
      <c r="E293" s="4">
        <f>C293*D293</f>
        <v>26283.599999999999</v>
      </c>
    </row>
    <row r="294" spans="1:5" ht="17" x14ac:dyDescent="0.2">
      <c r="A294" s="18" t="s">
        <v>282</v>
      </c>
      <c r="B294" s="13" t="s">
        <v>290</v>
      </c>
      <c r="C294" s="17">
        <v>17.676500000000001</v>
      </c>
      <c r="D294" s="26">
        <v>2940</v>
      </c>
      <c r="E294" s="4">
        <f>C294*D294</f>
        <v>51968.91</v>
      </c>
    </row>
    <row r="295" spans="1:5" ht="17" x14ac:dyDescent="0.2">
      <c r="A295" s="18" t="s">
        <v>282</v>
      </c>
      <c r="B295" s="13" t="s">
        <v>290</v>
      </c>
      <c r="C295" s="17">
        <v>6.4560000000000004</v>
      </c>
      <c r="D295" s="26">
        <v>2940</v>
      </c>
      <c r="E295" s="4">
        <f t="shared" ref="E295:E331" si="2">C295*D295</f>
        <v>18980.64</v>
      </c>
    </row>
    <row r="296" spans="1:5" ht="17" x14ac:dyDescent="0.2">
      <c r="A296" s="13" t="s">
        <v>279</v>
      </c>
      <c r="B296" s="13" t="s">
        <v>291</v>
      </c>
      <c r="C296" s="17">
        <v>7.5049999999999999</v>
      </c>
      <c r="D296" s="14">
        <v>3060</v>
      </c>
      <c r="E296" s="4">
        <f t="shared" si="2"/>
        <v>22965.3</v>
      </c>
    </row>
    <row r="297" spans="1:5" ht="17" x14ac:dyDescent="0.2">
      <c r="A297" s="13" t="s">
        <v>282</v>
      </c>
      <c r="B297" s="13" t="s">
        <v>291</v>
      </c>
      <c r="C297" s="17">
        <v>25.967500000000001</v>
      </c>
      <c r="D297" s="14">
        <v>3060</v>
      </c>
      <c r="E297" s="4">
        <f t="shared" si="2"/>
        <v>79460.55</v>
      </c>
    </row>
    <row r="298" spans="1:5" ht="17" x14ac:dyDescent="0.2">
      <c r="A298" s="13" t="s">
        <v>304</v>
      </c>
      <c r="B298" s="13" t="s">
        <v>297</v>
      </c>
      <c r="C298" s="17">
        <v>10.5</v>
      </c>
      <c r="D298" s="14">
        <v>3160</v>
      </c>
      <c r="E298" s="4">
        <f t="shared" si="2"/>
        <v>33180</v>
      </c>
    </row>
    <row r="299" spans="1:5" ht="17" x14ac:dyDescent="0.2">
      <c r="A299" s="13" t="s">
        <v>299</v>
      </c>
      <c r="B299" s="13" t="s">
        <v>291</v>
      </c>
      <c r="C299" s="17">
        <v>27.857500000000002</v>
      </c>
      <c r="D299" s="14">
        <v>3160</v>
      </c>
      <c r="E299" s="4">
        <f t="shared" si="2"/>
        <v>88029.700000000012</v>
      </c>
    </row>
    <row r="300" spans="1:5" ht="17" x14ac:dyDescent="0.2">
      <c r="A300" s="13" t="s">
        <v>282</v>
      </c>
      <c r="B300" s="13" t="s">
        <v>291</v>
      </c>
      <c r="C300" s="17">
        <v>42.368499999999997</v>
      </c>
      <c r="D300" s="14">
        <v>3060</v>
      </c>
      <c r="E300" s="4">
        <f t="shared" si="2"/>
        <v>129647.60999999999</v>
      </c>
    </row>
    <row r="301" spans="1:5" ht="17" x14ac:dyDescent="0.2">
      <c r="A301" s="13" t="s">
        <v>282</v>
      </c>
      <c r="B301" s="13" t="s">
        <v>291</v>
      </c>
      <c r="C301" s="17">
        <v>19.48</v>
      </c>
      <c r="D301" s="14">
        <v>3060</v>
      </c>
      <c r="E301" s="4">
        <f t="shared" si="2"/>
        <v>59608.800000000003</v>
      </c>
    </row>
    <row r="302" spans="1:5" ht="17" x14ac:dyDescent="0.2">
      <c r="A302" s="13" t="s">
        <v>282</v>
      </c>
      <c r="B302" s="13" t="s">
        <v>291</v>
      </c>
      <c r="C302" s="17">
        <v>8.0295000000000005</v>
      </c>
      <c r="D302" s="14">
        <v>3060</v>
      </c>
      <c r="E302" s="4">
        <f t="shared" si="2"/>
        <v>24570.27</v>
      </c>
    </row>
    <row r="303" spans="1:5" ht="17" x14ac:dyDescent="0.2">
      <c r="A303" s="13" t="s">
        <v>283</v>
      </c>
      <c r="B303" s="13" t="s">
        <v>323</v>
      </c>
      <c r="C303" s="17">
        <v>9.4</v>
      </c>
      <c r="D303" s="14">
        <v>4920</v>
      </c>
      <c r="E303" s="4">
        <f t="shared" si="2"/>
        <v>46248</v>
      </c>
    </row>
    <row r="304" spans="1:5" ht="17" x14ac:dyDescent="0.2">
      <c r="A304" s="13" t="s">
        <v>283</v>
      </c>
      <c r="B304" s="13" t="s">
        <v>323</v>
      </c>
      <c r="C304" s="17">
        <v>15.04</v>
      </c>
      <c r="D304" s="14">
        <v>4920</v>
      </c>
      <c r="E304" s="4">
        <f t="shared" si="2"/>
        <v>73996.800000000003</v>
      </c>
    </row>
    <row r="305" spans="1:5" ht="17" x14ac:dyDescent="0.2">
      <c r="A305" s="13" t="s">
        <v>283</v>
      </c>
      <c r="B305" s="13" t="s">
        <v>323</v>
      </c>
      <c r="C305" s="17">
        <v>15.04</v>
      </c>
      <c r="D305" s="14">
        <v>4920</v>
      </c>
      <c r="E305" s="4">
        <f t="shared" si="2"/>
        <v>73996.800000000003</v>
      </c>
    </row>
    <row r="306" spans="1:5" ht="17" x14ac:dyDescent="0.2">
      <c r="A306" s="18" t="s">
        <v>282</v>
      </c>
      <c r="B306" s="13" t="s">
        <v>290</v>
      </c>
      <c r="C306" s="17">
        <v>9.9704999999999995</v>
      </c>
      <c r="D306" s="14">
        <v>3040</v>
      </c>
      <c r="E306" s="4">
        <f t="shared" si="2"/>
        <v>30310.32</v>
      </c>
    </row>
    <row r="307" spans="1:5" ht="17" x14ac:dyDescent="0.2">
      <c r="A307" s="18" t="s">
        <v>285</v>
      </c>
      <c r="B307" s="13" t="s">
        <v>290</v>
      </c>
      <c r="C307" s="17">
        <v>7.133</v>
      </c>
      <c r="D307" s="14">
        <v>3040</v>
      </c>
      <c r="E307" s="4">
        <f t="shared" si="2"/>
        <v>21684.32</v>
      </c>
    </row>
    <row r="308" spans="1:5" ht="17" x14ac:dyDescent="0.2">
      <c r="A308" s="18" t="s">
        <v>282</v>
      </c>
      <c r="B308" s="13" t="s">
        <v>290</v>
      </c>
      <c r="C308" s="17">
        <v>6.8849999999999998</v>
      </c>
      <c r="D308" s="14">
        <v>2940</v>
      </c>
      <c r="E308" s="4">
        <f t="shared" si="2"/>
        <v>20241.899999999998</v>
      </c>
    </row>
    <row r="309" spans="1:5" ht="17" x14ac:dyDescent="0.2">
      <c r="A309" s="18" t="s">
        <v>279</v>
      </c>
      <c r="B309" s="13" t="s">
        <v>290</v>
      </c>
      <c r="C309" s="17">
        <v>13.455</v>
      </c>
      <c r="D309" s="14">
        <v>2940</v>
      </c>
      <c r="E309" s="4">
        <f t="shared" si="2"/>
        <v>39557.699999999997</v>
      </c>
    </row>
    <row r="310" spans="1:5" ht="17" x14ac:dyDescent="0.2">
      <c r="A310" s="18" t="s">
        <v>285</v>
      </c>
      <c r="B310" s="13" t="s">
        <v>290</v>
      </c>
      <c r="C310" s="17">
        <v>18.164999999999999</v>
      </c>
      <c r="D310" s="14">
        <v>2940</v>
      </c>
      <c r="E310" s="4">
        <f t="shared" si="2"/>
        <v>53405.1</v>
      </c>
    </row>
    <row r="311" spans="1:5" ht="17" x14ac:dyDescent="0.2">
      <c r="A311" s="18" t="s">
        <v>322</v>
      </c>
      <c r="B311" s="13" t="s">
        <v>324</v>
      </c>
      <c r="C311" s="17">
        <v>22.795000000000002</v>
      </c>
      <c r="D311" s="8">
        <v>2300</v>
      </c>
      <c r="E311" s="4">
        <f t="shared" si="2"/>
        <v>52428.500000000007</v>
      </c>
    </row>
    <row r="312" spans="1:5" ht="17" x14ac:dyDescent="0.2">
      <c r="A312" s="13" t="s">
        <v>274</v>
      </c>
      <c r="B312" s="13" t="s">
        <v>349</v>
      </c>
      <c r="C312" s="17">
        <v>18.2</v>
      </c>
      <c r="D312" s="14">
        <v>2140</v>
      </c>
      <c r="E312" s="4">
        <f t="shared" si="2"/>
        <v>38948</v>
      </c>
    </row>
    <row r="313" spans="1:5" ht="17" x14ac:dyDescent="0.2">
      <c r="A313" s="13" t="s">
        <v>279</v>
      </c>
      <c r="B313" s="13" t="s">
        <v>290</v>
      </c>
      <c r="C313" s="17">
        <v>8.9600000000000009</v>
      </c>
      <c r="D313" s="14">
        <v>3400</v>
      </c>
      <c r="E313" s="4">
        <f t="shared" si="2"/>
        <v>30464.000000000004</v>
      </c>
    </row>
    <row r="314" spans="1:5" ht="17" x14ac:dyDescent="0.2">
      <c r="A314" s="13" t="s">
        <v>282</v>
      </c>
      <c r="B314" s="13" t="s">
        <v>290</v>
      </c>
      <c r="C314" s="17">
        <v>15.9</v>
      </c>
      <c r="D314" s="14">
        <v>3400</v>
      </c>
      <c r="E314" s="4">
        <f t="shared" si="2"/>
        <v>54060</v>
      </c>
    </row>
    <row r="315" spans="1:5" ht="17" x14ac:dyDescent="0.2">
      <c r="A315" s="13" t="s">
        <v>280</v>
      </c>
      <c r="B315" s="13" t="s">
        <v>290</v>
      </c>
      <c r="C315" s="17">
        <v>22.204000000000001</v>
      </c>
      <c r="D315" s="14">
        <v>3400</v>
      </c>
      <c r="E315" s="4">
        <f t="shared" si="2"/>
        <v>75493.600000000006</v>
      </c>
    </row>
    <row r="316" spans="1:5" ht="17" x14ac:dyDescent="0.2">
      <c r="A316" s="13" t="s">
        <v>279</v>
      </c>
      <c r="B316" s="13" t="s">
        <v>290</v>
      </c>
      <c r="C316" s="17">
        <v>16.376999999999999</v>
      </c>
      <c r="D316" s="14">
        <v>3400</v>
      </c>
      <c r="E316" s="4">
        <f t="shared" si="2"/>
        <v>55681.799999999996</v>
      </c>
    </row>
    <row r="317" spans="1:5" ht="17" x14ac:dyDescent="0.2">
      <c r="A317" s="13" t="s">
        <v>279</v>
      </c>
      <c r="B317" s="13" t="s">
        <v>290</v>
      </c>
      <c r="C317" s="17">
        <v>20.65</v>
      </c>
      <c r="D317" s="14">
        <v>3400</v>
      </c>
      <c r="E317" s="4">
        <f t="shared" si="2"/>
        <v>70210</v>
      </c>
    </row>
    <row r="318" spans="1:5" ht="17" x14ac:dyDescent="0.2">
      <c r="A318" s="13" t="s">
        <v>348</v>
      </c>
      <c r="B318" s="13" t="s">
        <v>291</v>
      </c>
      <c r="C318" s="17">
        <v>15.6</v>
      </c>
      <c r="D318" s="14">
        <v>3900</v>
      </c>
      <c r="E318" s="4">
        <f t="shared" si="2"/>
        <v>60840</v>
      </c>
    </row>
    <row r="319" spans="1:5" ht="17" x14ac:dyDescent="0.2">
      <c r="A319" s="13" t="s">
        <v>279</v>
      </c>
      <c r="B319" s="13" t="s">
        <v>291</v>
      </c>
      <c r="C319" s="17">
        <v>14.57</v>
      </c>
      <c r="D319" s="14">
        <v>3900</v>
      </c>
      <c r="E319" s="4">
        <f t="shared" si="2"/>
        <v>56823</v>
      </c>
    </row>
    <row r="320" spans="1:5" ht="17" x14ac:dyDescent="0.2">
      <c r="A320" s="13" t="s">
        <v>279</v>
      </c>
      <c r="B320" s="13" t="s">
        <v>290</v>
      </c>
      <c r="C320" s="17">
        <v>4.8230000000000004</v>
      </c>
      <c r="D320" s="14">
        <v>3400</v>
      </c>
      <c r="E320" s="4">
        <f t="shared" si="2"/>
        <v>16398.2</v>
      </c>
    </row>
    <row r="321" spans="1:5" ht="17" x14ac:dyDescent="0.2">
      <c r="A321" s="13" t="s">
        <v>279</v>
      </c>
      <c r="B321" s="13" t="s">
        <v>290</v>
      </c>
      <c r="C321" s="17">
        <v>19.565000000000001</v>
      </c>
      <c r="D321" s="14">
        <v>3400</v>
      </c>
      <c r="E321" s="4">
        <f t="shared" si="2"/>
        <v>66521</v>
      </c>
    </row>
    <row r="322" spans="1:5" ht="17" x14ac:dyDescent="0.2">
      <c r="A322" s="18" t="s">
        <v>282</v>
      </c>
      <c r="B322" s="13" t="s">
        <v>327</v>
      </c>
      <c r="C322" s="17">
        <v>19.536999999999999</v>
      </c>
      <c r="D322" s="14">
        <v>3600</v>
      </c>
      <c r="E322" s="4">
        <f t="shared" si="2"/>
        <v>70333.2</v>
      </c>
    </row>
    <row r="323" spans="1:5" ht="17" x14ac:dyDescent="0.2">
      <c r="A323" s="18" t="s">
        <v>282</v>
      </c>
      <c r="B323" s="13" t="s">
        <v>308</v>
      </c>
      <c r="C323" s="17">
        <v>18</v>
      </c>
      <c r="D323" s="14">
        <v>4000</v>
      </c>
      <c r="E323" s="4">
        <f t="shared" si="2"/>
        <v>72000</v>
      </c>
    </row>
    <row r="324" spans="1:5" ht="17" x14ac:dyDescent="0.2">
      <c r="A324" s="18" t="s">
        <v>282</v>
      </c>
      <c r="B324" s="13" t="s">
        <v>290</v>
      </c>
      <c r="C324" s="17">
        <v>18.98</v>
      </c>
      <c r="D324" s="14">
        <v>3400</v>
      </c>
      <c r="E324" s="4">
        <f t="shared" si="2"/>
        <v>64532</v>
      </c>
    </row>
    <row r="325" spans="1:5" ht="17" x14ac:dyDescent="0.2">
      <c r="A325" s="18" t="s">
        <v>279</v>
      </c>
      <c r="B325" s="13" t="s">
        <v>350</v>
      </c>
      <c r="C325" s="17">
        <v>17.7425</v>
      </c>
      <c r="D325" s="8">
        <v>2200</v>
      </c>
      <c r="E325" s="4">
        <f t="shared" si="2"/>
        <v>39033.5</v>
      </c>
    </row>
    <row r="326" spans="1:5" ht="17" x14ac:dyDescent="0.2">
      <c r="A326" s="18" t="s">
        <v>283</v>
      </c>
      <c r="B326" s="13" t="s">
        <v>308</v>
      </c>
      <c r="C326" s="17">
        <v>10.016500000000001</v>
      </c>
      <c r="D326" s="8">
        <v>4000</v>
      </c>
      <c r="E326" s="4">
        <f t="shared" si="2"/>
        <v>40066</v>
      </c>
    </row>
    <row r="327" spans="1:5" ht="17" x14ac:dyDescent="0.2">
      <c r="A327" s="18" t="s">
        <v>299</v>
      </c>
      <c r="B327" s="13" t="s">
        <v>308</v>
      </c>
      <c r="C327" s="17">
        <v>8.0850000000000009</v>
      </c>
      <c r="D327" s="8">
        <v>4000</v>
      </c>
      <c r="E327" s="4">
        <f t="shared" si="2"/>
        <v>32340.000000000004</v>
      </c>
    </row>
    <row r="328" spans="1:5" ht="17" x14ac:dyDescent="0.2">
      <c r="A328" s="18" t="s">
        <v>282</v>
      </c>
      <c r="B328" s="13" t="s">
        <v>290</v>
      </c>
      <c r="C328" s="17">
        <v>17.5</v>
      </c>
      <c r="D328" s="8">
        <v>3400</v>
      </c>
      <c r="E328" s="4">
        <f t="shared" si="2"/>
        <v>59500</v>
      </c>
    </row>
    <row r="329" spans="1:5" ht="17" x14ac:dyDescent="0.2">
      <c r="A329" s="18" t="s">
        <v>280</v>
      </c>
      <c r="B329" s="13" t="s">
        <v>290</v>
      </c>
      <c r="C329" s="17">
        <v>3.1459999999999999</v>
      </c>
      <c r="D329" s="8">
        <v>3400</v>
      </c>
      <c r="E329" s="4">
        <f t="shared" si="2"/>
        <v>10696.4</v>
      </c>
    </row>
    <row r="330" spans="1:5" ht="17" x14ac:dyDescent="0.2">
      <c r="A330" s="18" t="s">
        <v>281</v>
      </c>
      <c r="B330" s="13" t="s">
        <v>325</v>
      </c>
      <c r="C330" s="17">
        <v>33.904000000000003</v>
      </c>
      <c r="D330" s="9">
        <v>2300</v>
      </c>
      <c r="E330" s="4">
        <f t="shared" si="2"/>
        <v>77979.200000000012</v>
      </c>
    </row>
    <row r="331" spans="1:5" ht="17" x14ac:dyDescent="0.2">
      <c r="A331" s="18" t="s">
        <v>280</v>
      </c>
      <c r="B331" s="13" t="s">
        <v>290</v>
      </c>
      <c r="C331" s="17">
        <v>18.52</v>
      </c>
      <c r="D331" s="9">
        <v>3400</v>
      </c>
      <c r="E331" s="4">
        <f t="shared" si="2"/>
        <v>62968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22BE-B79E-E246-A5DC-6F257BB4EFEA}">
  <dimension ref="A1:C1"/>
  <sheetViews>
    <sheetView workbookViewId="0"/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5AAC-6907-DA43-A29E-E0515DFCAA95}">
  <dimension ref="A1:C1"/>
  <sheetViews>
    <sheetView workbookViewId="0">
      <selection activeCell="C5" sqref="C5"/>
    </sheetView>
  </sheetViews>
  <sheetFormatPr baseColWidth="10" defaultRowHeight="16" x14ac:dyDescent="0.2"/>
  <cols>
    <col min="2" max="2" width="12.1640625" bestFit="1" customWidth="1"/>
  </cols>
  <sheetData>
    <row r="1" spans="1:3" x14ac:dyDescent="0.2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301F-7748-2F43-8DF9-92835864C4CF}">
  <dimension ref="A1:D3"/>
  <sheetViews>
    <sheetView zoomScale="125" workbookViewId="0">
      <selection activeCell="C1" sqref="C1"/>
    </sheetView>
  </sheetViews>
  <sheetFormatPr baseColWidth="10" defaultRowHeight="16" x14ac:dyDescent="0.2"/>
  <cols>
    <col min="2" max="2" width="22.83203125" customWidth="1"/>
    <col min="3" max="3" width="18.33203125" bestFit="1" customWidth="1"/>
    <col min="4" max="4" width="15.83203125" bestFit="1" customWidth="1"/>
    <col min="5" max="5" width="16.33203125" bestFit="1" customWidth="1"/>
    <col min="6" max="6" width="13.6640625" customWidth="1"/>
  </cols>
  <sheetData>
    <row r="1" spans="1:4" x14ac:dyDescent="0.2">
      <c r="A1" t="s">
        <v>270</v>
      </c>
      <c r="B1" t="s">
        <v>276</v>
      </c>
      <c r="C1" t="s">
        <v>277</v>
      </c>
      <c r="D1" t="s">
        <v>278</v>
      </c>
    </row>
    <row r="2" spans="1:4" x14ac:dyDescent="0.2">
      <c r="A2" t="s">
        <v>274</v>
      </c>
      <c r="B2">
        <v>38948</v>
      </c>
      <c r="C2">
        <v>28760</v>
      </c>
      <c r="D2">
        <f>B2-C2</f>
        <v>10188</v>
      </c>
    </row>
    <row r="3" spans="1:4" x14ac:dyDescent="0.2">
      <c r="A3" t="s">
        <v>279</v>
      </c>
      <c r="B3">
        <v>30464</v>
      </c>
      <c r="C3">
        <v>23450</v>
      </c>
      <c r="D3">
        <f>B3-C3</f>
        <v>7014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F34E-8980-7343-9756-A7D9CDCFF2F8}">
  <dimension ref="A1:C1"/>
  <sheetViews>
    <sheetView zoomScale="139" workbookViewId="0">
      <selection activeCell="C2" sqref="C2"/>
    </sheetView>
  </sheetViews>
  <sheetFormatPr baseColWidth="10" defaultRowHeight="16" x14ac:dyDescent="0.2"/>
  <cols>
    <col min="1" max="1" width="11.5" bestFit="1" customWidth="1"/>
    <col min="2" max="2" width="12.33203125" bestFit="1" customWidth="1"/>
    <col min="3" max="3" width="14.6640625" bestFit="1" customWidth="1"/>
  </cols>
  <sheetData>
    <row r="1" spans="1:3" x14ac:dyDescent="0.2">
      <c r="A1" t="s">
        <v>370</v>
      </c>
      <c r="B1" t="s">
        <v>270</v>
      </c>
      <c r="C1" t="s">
        <v>371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9292-F52A-A140-A3A4-9D22BF166CAA}">
  <dimension ref="A1:C1"/>
  <sheetViews>
    <sheetView workbookViewId="0">
      <selection activeCell="C6" sqref="C6"/>
    </sheetView>
  </sheetViews>
  <sheetFormatPr baseColWidth="10" defaultRowHeight="16" x14ac:dyDescent="0.2"/>
  <cols>
    <col min="1" max="1" width="8.6640625" bestFit="1" customWidth="1"/>
    <col min="2" max="2" width="17" bestFit="1" customWidth="1"/>
  </cols>
  <sheetData>
    <row r="1" spans="1:3" x14ac:dyDescent="0.2">
      <c r="A1" t="s">
        <v>11</v>
      </c>
      <c r="B1" t="s">
        <v>12</v>
      </c>
      <c r="C1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859D-B70E-2D4A-B7AC-9FCDC3E40EB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0903-12F2-844B-812A-2C0A999063CB}">
  <dimension ref="A1"/>
  <sheetViews>
    <sheetView topLeftCell="A22" workbookViewId="0"/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9E18-4FEB-2243-92DD-EBE5A7DC5792}">
  <dimension ref="A1"/>
  <sheetViews>
    <sheetView workbookViewId="0">
      <selection activeCell="K49" sqref="K49"/>
    </sheetView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A0EF-99E8-A74D-8A4A-AA1ACD24B27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Vehicles</vt:lpstr>
      <vt:lpstr>Drivers</vt:lpstr>
      <vt:lpstr>Employees</vt:lpstr>
      <vt:lpstr>Clients</vt:lpstr>
      <vt:lpstr>Departments</vt:lpstr>
      <vt:lpstr>Tile Type</vt:lpstr>
      <vt:lpstr>Operations</vt:lpstr>
      <vt:lpstr>Attendance</vt:lpstr>
      <vt:lpstr>Salaries</vt:lpstr>
      <vt:lpstr>Financial Dashboard</vt:lpstr>
      <vt:lpstr>Invoice</vt:lpstr>
      <vt:lpstr>Operational Expenses</vt:lpstr>
      <vt:lpstr>Fuel Logs</vt:lpstr>
      <vt:lpstr>Maintenance</vt:lpstr>
      <vt:lpstr>Vehicle Trip</vt:lpstr>
      <vt:lpstr>Inquiries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u2022432</dc:creator>
  <cp:lastModifiedBy>u2022432</cp:lastModifiedBy>
  <dcterms:created xsi:type="dcterms:W3CDTF">2026-04-20T12:10:04Z</dcterms:created>
  <dcterms:modified xsi:type="dcterms:W3CDTF">2026-04-20T18:00:09Z</dcterms:modified>
</cp:coreProperties>
</file>