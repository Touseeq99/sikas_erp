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herazijazkhan/Desktop/Data/University Data/SEMESTER 7/SIKAS Logistics FYP/03_Master_Data/"/>
    </mc:Choice>
  </mc:AlternateContent>
  <xr:revisionPtr revIDLastSave="0" documentId="13_ncr:1_{8C88239D-01BD-E948-BC26-F1B446BB1DAC}" xr6:coauthVersionLast="47" xr6:coauthVersionMax="47" xr10:uidLastSave="{00000000-0000-0000-0000-000000000000}"/>
  <bookViews>
    <workbookView xWindow="0" yWindow="780" windowWidth="17120" windowHeight="19940" activeTab="2" xr2:uid="{0804D278-783B-B04C-940F-9BA21A0E14A3}"/>
  </bookViews>
  <sheets>
    <sheet name="Vehicles" sheetId="2" r:id="rId1"/>
    <sheet name="Clients" sheetId="3" r:id="rId2"/>
    <sheet name="Employees" sheetId="1" r:id="rId3"/>
    <sheet name="Departments" sheetId="4" r:id="rId4"/>
    <sheet name="Orders" sheetId="5" r:id="rId5"/>
    <sheet name="Deliveries" sheetId="6" r:id="rId6"/>
    <sheet name="FleetUsage" sheetId="7" r:id="rId7"/>
    <sheet name="Maintenance" sheetId="8" r:id="rId8"/>
    <sheet name="FuelTracking" sheetId="9" r:id="rId9"/>
    <sheet name="Drivers" sheetId="10" r:id="rId10"/>
    <sheet name="Attendance" sheetId="11" r:id="rId11"/>
    <sheet name="Salaries" sheetId="12" r:id="rId12"/>
    <sheet name="Revenue" sheetId="14" r:id="rId13"/>
    <sheet name="Expenses" sheetId="15" r:id="rId14"/>
    <sheet name="Payments" sheetId="16" r:id="rId15"/>
    <sheet name="ProfitPerTrip" sheetId="17" r:id="rId16"/>
    <sheet name="inventory" sheetId="18" r:id="rId17"/>
    <sheet name="Suppliers" sheetId="19" r:id="rId18"/>
    <sheet name="Contacts" sheetId="21" r:id="rId19"/>
    <sheet name="KPIs" sheetId="25" r:id="rId20"/>
    <sheet name="Sheet1" sheetId="26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8" l="1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D2" i="19"/>
  <c r="D4" i="19"/>
  <c r="D6" i="19"/>
  <c r="D7" i="19"/>
  <c r="D8" i="19"/>
  <c r="D9" i="19"/>
  <c r="D10" i="19"/>
  <c r="D11" i="19"/>
  <c r="D2" i="21"/>
  <c r="D3" i="21"/>
  <c r="D4" i="21"/>
  <c r="D5" i="21"/>
  <c r="D6" i="21"/>
  <c r="D7" i="21"/>
  <c r="D8" i="21"/>
  <c r="D9" i="21"/>
  <c r="D10" i="21"/>
  <c r="D11" i="21"/>
  <c r="E2" i="17"/>
  <c r="E3" i="17"/>
  <c r="E4" i="17"/>
  <c r="E5" i="17"/>
  <c r="E6" i="17"/>
  <c r="E8" i="17"/>
  <c r="E9" i="17"/>
  <c r="E10" i="17"/>
  <c r="E11" i="17"/>
  <c r="E7" i="17"/>
  <c r="C2" i="10"/>
  <c r="C3" i="10"/>
  <c r="C4" i="10"/>
  <c r="C5" i="10"/>
  <c r="C6" i="10"/>
  <c r="C7" i="10"/>
  <c r="C8" i="10"/>
  <c r="C9" i="10"/>
  <c r="C10" i="10"/>
  <c r="C11" i="10"/>
  <c r="C2" i="3"/>
  <c r="C3" i="3"/>
  <c r="C4" i="3"/>
  <c r="C5" i="3"/>
  <c r="C6" i="3"/>
  <c r="C7" i="3"/>
  <c r="C8" i="3"/>
  <c r="C9" i="3"/>
  <c r="C10" i="3"/>
  <c r="C11" i="3"/>
  <c r="E2" i="1"/>
  <c r="E3" i="1"/>
  <c r="E4" i="1"/>
  <c r="E5" i="1"/>
  <c r="E6" i="1"/>
  <c r="E7" i="1"/>
  <c r="E8" i="1"/>
  <c r="E9" i="1"/>
  <c r="E10" i="1"/>
  <c r="E11" i="1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</calcChain>
</file>

<file path=xl/sharedStrings.xml><?xml version="1.0" encoding="utf-8"?>
<sst xmlns="http://schemas.openxmlformats.org/spreadsheetml/2006/main" count="877" uniqueCount="491">
  <si>
    <t>Employee ID</t>
  </si>
  <si>
    <t>Name</t>
  </si>
  <si>
    <t>Department ID</t>
  </si>
  <si>
    <t xml:space="preserve">Role </t>
  </si>
  <si>
    <t>Contact</t>
  </si>
  <si>
    <t>VehicleID</t>
  </si>
  <si>
    <t>Type</t>
  </si>
  <si>
    <t>RegistrationNo</t>
  </si>
  <si>
    <t>Capacity</t>
  </si>
  <si>
    <t>Status</t>
  </si>
  <si>
    <t>ClientID</t>
  </si>
  <si>
    <t>ContactInfo</t>
  </si>
  <si>
    <t>Address</t>
  </si>
  <si>
    <t>DepartmentID</t>
  </si>
  <si>
    <t>ManagerID</t>
  </si>
  <si>
    <t>HR</t>
  </si>
  <si>
    <t>Finance</t>
  </si>
  <si>
    <t>OrderID</t>
  </si>
  <si>
    <t>OrderDate</t>
  </si>
  <si>
    <t>DriverID</t>
  </si>
  <si>
    <t>DeliveryID</t>
  </si>
  <si>
    <t>DeliveryDate</t>
  </si>
  <si>
    <t>DeliveryStatus</t>
  </si>
  <si>
    <t>UsageID</t>
  </si>
  <si>
    <t>Date</t>
  </si>
  <si>
    <t>DistanceTravelled</t>
  </si>
  <si>
    <t>Maintenance</t>
  </si>
  <si>
    <t>Cost</t>
  </si>
  <si>
    <t>FuelID</t>
  </si>
  <si>
    <t>FuelLiters</t>
  </si>
  <si>
    <t>LicenseNo</t>
  </si>
  <si>
    <t>AttendanceID</t>
  </si>
  <si>
    <t>DriversID</t>
  </si>
  <si>
    <t>SalaryID</t>
  </si>
  <si>
    <t>EmployeeID</t>
  </si>
  <si>
    <t>Month</t>
  </si>
  <si>
    <t>Amount</t>
  </si>
  <si>
    <t>RevenueID</t>
  </si>
  <si>
    <t>PaymentStatus</t>
  </si>
  <si>
    <t>ExpenseID</t>
  </si>
  <si>
    <t>Category</t>
  </si>
  <si>
    <t>Notes</t>
  </si>
  <si>
    <t>PaymentID</t>
  </si>
  <si>
    <t>Method</t>
  </si>
  <si>
    <t>TripID</t>
  </si>
  <si>
    <t>Revenue</t>
  </si>
  <si>
    <t>Expenses</t>
  </si>
  <si>
    <t>Profit</t>
  </si>
  <si>
    <t>ItemID</t>
  </si>
  <si>
    <t>ItemName</t>
  </si>
  <si>
    <t>Quantity</t>
  </si>
  <si>
    <t>UnitCost</t>
  </si>
  <si>
    <t>TotalValue</t>
  </si>
  <si>
    <t>SupplierID</t>
  </si>
  <si>
    <t>ContactID</t>
  </si>
  <si>
    <t>Phone</t>
  </si>
  <si>
    <t>Email</t>
  </si>
  <si>
    <t>KPIID</t>
  </si>
  <si>
    <t>Metric</t>
  </si>
  <si>
    <t>Target</t>
  </si>
  <si>
    <t>Actual</t>
  </si>
  <si>
    <t>Variance</t>
  </si>
  <si>
    <t>Ali Khan</t>
  </si>
  <si>
    <t>D01</t>
  </si>
  <si>
    <t>Driver</t>
  </si>
  <si>
    <t>Sara Ahmed</t>
  </si>
  <si>
    <t>D02</t>
  </si>
  <si>
    <t>Accountant</t>
  </si>
  <si>
    <t>Bilal Raza</t>
  </si>
  <si>
    <t>Dispatcher</t>
  </si>
  <si>
    <t>Nadia Malik</t>
  </si>
  <si>
    <t>D03</t>
  </si>
  <si>
    <t>HR Officer</t>
  </si>
  <si>
    <t>Usman Tariq</t>
  </si>
  <si>
    <t>Ayesha Noor</t>
  </si>
  <si>
    <t>Finance Exec</t>
  </si>
  <si>
    <t>Hamza Ali</t>
  </si>
  <si>
    <t>D04</t>
  </si>
  <si>
    <t>Mechanic</t>
  </si>
  <si>
    <t>Fatima Zahra</t>
  </si>
  <si>
    <t>Recruiter</t>
  </si>
  <si>
    <t>Imran Shah</t>
  </si>
  <si>
    <t>Mahnoor Iqbal</t>
  </si>
  <si>
    <t>Analyst</t>
  </si>
  <si>
    <t>PlateNo</t>
  </si>
  <si>
    <t>V01</t>
  </si>
  <si>
    <t>RWP-123</t>
  </si>
  <si>
    <t>Truck</t>
  </si>
  <si>
    <t>10 tons</t>
  </si>
  <si>
    <t>Active</t>
  </si>
  <si>
    <t>V02</t>
  </si>
  <si>
    <t>ISB-456</t>
  </si>
  <si>
    <t>Van</t>
  </si>
  <si>
    <t>2 tons</t>
  </si>
  <si>
    <t>V03</t>
  </si>
  <si>
    <t>LHR-789</t>
  </si>
  <si>
    <t>Trailer</t>
  </si>
  <si>
    <t>20 tons</t>
  </si>
  <si>
    <t>In Repair</t>
  </si>
  <si>
    <t>V04</t>
  </si>
  <si>
    <t>KHI-321</t>
  </si>
  <si>
    <t>15 tons</t>
  </si>
  <si>
    <t>V05</t>
  </si>
  <si>
    <t>FSD-654</t>
  </si>
  <si>
    <t>3 tons</t>
  </si>
  <si>
    <t>V06</t>
  </si>
  <si>
    <t>MUL-987</t>
  </si>
  <si>
    <t>25 tons</t>
  </si>
  <si>
    <t>V07</t>
  </si>
  <si>
    <t>PWR-111</t>
  </si>
  <si>
    <t>12 tons</t>
  </si>
  <si>
    <t>V08</t>
  </si>
  <si>
    <t>SWL-222</t>
  </si>
  <si>
    <t>V09</t>
  </si>
  <si>
    <t>HYD-333</t>
  </si>
  <si>
    <t>18 tons</t>
  </si>
  <si>
    <t>V10</t>
  </si>
  <si>
    <t>GJR-444</t>
  </si>
  <si>
    <t>14 tons</t>
  </si>
  <si>
    <t>PakFuel Ltd.</t>
  </si>
  <si>
    <t>Lahore, Pakistan</t>
  </si>
  <si>
    <t>C02</t>
  </si>
  <si>
    <t>AutoMart Co.</t>
  </si>
  <si>
    <t>Karachi, Pakistan</t>
  </si>
  <si>
    <t>C03</t>
  </si>
  <si>
    <t>Logistics Hub</t>
  </si>
  <si>
    <t>Islamabad</t>
  </si>
  <si>
    <t>C04</t>
  </si>
  <si>
    <t>Mega Tyres</t>
  </si>
  <si>
    <t>Rawalpindi</t>
  </si>
  <si>
    <t>C05</t>
  </si>
  <si>
    <t>OfficeMart</t>
  </si>
  <si>
    <t>Faisalabad</t>
  </si>
  <si>
    <t>C06</t>
  </si>
  <si>
    <t>SupplyChain PK</t>
  </si>
  <si>
    <t>Multan</t>
  </si>
  <si>
    <t>C07</t>
  </si>
  <si>
    <t>Cargo Express</t>
  </si>
  <si>
    <t>Peshawar</t>
  </si>
  <si>
    <t>C08</t>
  </si>
  <si>
    <t>FastTrack Ltd.</t>
  </si>
  <si>
    <t>Sialkot</t>
  </si>
  <si>
    <t>C09</t>
  </si>
  <si>
    <t>Allied Traders</t>
  </si>
  <si>
    <t>Hyderabad</t>
  </si>
  <si>
    <t>C10</t>
  </si>
  <si>
    <t>Zenith Logistics</t>
  </si>
  <si>
    <t>Gujranwala</t>
  </si>
  <si>
    <t>Operations</t>
  </si>
  <si>
    <t>D05</t>
  </si>
  <si>
    <t>Logistics</t>
  </si>
  <si>
    <t>D06</t>
  </si>
  <si>
    <t>IT</t>
  </si>
  <si>
    <t>D07</t>
  </si>
  <si>
    <t>Procurement</t>
  </si>
  <si>
    <t>D08</t>
  </si>
  <si>
    <t>Sales</t>
  </si>
  <si>
    <t>D09</t>
  </si>
  <si>
    <t>Marketing</t>
  </si>
  <si>
    <t>D10</t>
  </si>
  <si>
    <t>Admin</t>
  </si>
  <si>
    <t>DR01</t>
  </si>
  <si>
    <t>Imran Ali</t>
  </si>
  <si>
    <t>LIC-12345</t>
  </si>
  <si>
    <t>DR02</t>
  </si>
  <si>
    <t>Kamran Shah</t>
  </si>
  <si>
    <t>LIC-67890</t>
  </si>
  <si>
    <t>DR03</t>
  </si>
  <si>
    <t>Asif Mehmood</t>
  </si>
  <si>
    <t>LIC-54321</t>
  </si>
  <si>
    <t>DR04</t>
  </si>
  <si>
    <t>Javed Iqbal</t>
  </si>
  <si>
    <t>LIC-98765</t>
  </si>
  <si>
    <t>DR05</t>
  </si>
  <si>
    <t>Rashid Khan</t>
  </si>
  <si>
    <t>LIC-24680</t>
  </si>
  <si>
    <t>DR06</t>
  </si>
  <si>
    <t>Sohail Akbar</t>
  </si>
  <si>
    <t>LIC-13579</t>
  </si>
  <si>
    <t>DR07</t>
  </si>
  <si>
    <t>Waqar Ahmed</t>
  </si>
  <si>
    <t>LIC-11223</t>
  </si>
  <si>
    <t>DR08</t>
  </si>
  <si>
    <t>Noman Tariq</t>
  </si>
  <si>
    <t>LIC-44556</t>
  </si>
  <si>
    <t>DR09</t>
  </si>
  <si>
    <t>Adnan Raza</t>
  </si>
  <si>
    <t>LIC-77889</t>
  </si>
  <si>
    <t>DR10</t>
  </si>
  <si>
    <t>Salman Ali</t>
  </si>
  <si>
    <t>LIC-99001</t>
  </si>
  <si>
    <t>M801</t>
  </si>
  <si>
    <t>Brake service</t>
  </si>
  <si>
    <t>M802</t>
  </si>
  <si>
    <t>Engine repair</t>
  </si>
  <si>
    <t>M803</t>
  </si>
  <si>
    <t>Oil change</t>
  </si>
  <si>
    <t>M804</t>
  </si>
  <si>
    <t>Tire replacement</t>
  </si>
  <si>
    <t>M805</t>
  </si>
  <si>
    <t>Suspension fix</t>
  </si>
  <si>
    <t>M806</t>
  </si>
  <si>
    <t>Battery check</t>
  </si>
  <si>
    <t>M807</t>
  </si>
  <si>
    <t>Gearbox repair</t>
  </si>
  <si>
    <t>M808</t>
  </si>
  <si>
    <t>Cooling system</t>
  </si>
  <si>
    <t>M809</t>
  </si>
  <si>
    <t>Minor service</t>
  </si>
  <si>
    <t>M810</t>
  </si>
  <si>
    <t>Brake pads</t>
  </si>
  <si>
    <t>FT901</t>
  </si>
  <si>
    <t>FT902</t>
  </si>
  <si>
    <t>FT903</t>
  </si>
  <si>
    <t>FT904</t>
  </si>
  <si>
    <t>FT905</t>
  </si>
  <si>
    <t>FT906</t>
  </si>
  <si>
    <t>FT907</t>
  </si>
  <si>
    <t>FT908</t>
  </si>
  <si>
    <t>FT909</t>
  </si>
  <si>
    <t>FT910</t>
  </si>
  <si>
    <t>A1101</t>
  </si>
  <si>
    <t>Present</t>
  </si>
  <si>
    <t>A1102</t>
  </si>
  <si>
    <t>Absent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</si>
  <si>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</si>
  <si>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</si>
  <si>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</si>
  <si>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</si>
  <si>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</si>
  <si>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</si>
  <si>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</si>
  <si>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</si>
  <si>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S1201</t>
  </si>
  <si>
    <t>Feb</t>
  </si>
  <si>
    <t>Paid</t>
  </si>
  <si>
    <t>S1202</t>
  </si>
  <si>
    <t>Pending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</si>
  <si>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</si>
  <si>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</si>
  <si>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</si>
  <si>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</si>
  <si>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</si>
  <si>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</si>
  <si>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</si>
  <si>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</si>
  <si>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R1301</t>
  </si>
  <si>
    <t>O501</t>
  </si>
  <si>
    <t>R1302</t>
  </si>
  <si>
    <t>O502</t>
  </si>
  <si>
    <t>R1303</t>
  </si>
  <si>
    <t>O503</t>
  </si>
  <si>
    <t>R1304</t>
  </si>
  <si>
    <t>O504</t>
  </si>
  <si>
    <t>R1305</t>
  </si>
  <si>
    <t>O505</t>
  </si>
  <si>
    <t>R1306</t>
  </si>
  <si>
    <t>O506</t>
  </si>
  <si>
    <t>R1307</t>
  </si>
  <si>
    <t>O507</t>
  </si>
  <si>
    <t>R1308</t>
  </si>
  <si>
    <t>O508</t>
  </si>
  <si>
    <t>R1309</t>
  </si>
  <si>
    <t>O509</t>
  </si>
  <si>
    <t>R1310</t>
  </si>
  <si>
    <t>O510</t>
  </si>
  <si>
    <t>E1401</t>
  </si>
  <si>
    <t>Fuel</t>
  </si>
  <si>
    <t>Diesel refill</t>
  </si>
  <si>
    <t>E1402</t>
  </si>
  <si>
    <t>E1403</t>
  </si>
  <si>
    <t>Salaries</t>
  </si>
  <si>
    <t>Payroll</t>
  </si>
  <si>
    <t>E1404</t>
  </si>
  <si>
    <t>Petrol refill</t>
  </si>
  <si>
    <t>E1405</t>
  </si>
  <si>
    <t>E1406</t>
  </si>
  <si>
    <t>E1407</t>
  </si>
  <si>
    <t>E1408</t>
  </si>
  <si>
    <t>Tire change</t>
  </si>
  <si>
    <t>E1409</t>
  </si>
  <si>
    <t>E1410</t>
  </si>
  <si>
    <t>P1501</t>
  </si>
  <si>
    <t>Bank Transfer</t>
  </si>
  <si>
    <t>P1502</t>
  </si>
  <si>
    <t>Cash</t>
  </si>
  <si>
    <t>P1503</t>
  </si>
  <si>
    <t>P1504</t>
  </si>
  <si>
    <t>Cheque</t>
  </si>
  <si>
    <t>P1505</t>
  </si>
  <si>
    <t>P1506</t>
  </si>
  <si>
    <t>P1507</t>
  </si>
  <si>
    <t>P1508</t>
  </si>
  <si>
    <t>P1509</t>
  </si>
  <si>
    <t>P1510</t>
  </si>
  <si>
    <t>PT1601</t>
  </si>
  <si>
    <t>PT1602</t>
  </si>
  <si>
    <t>PT1603</t>
  </si>
  <si>
    <t>PT1604</t>
  </si>
  <si>
    <t>PT1605</t>
  </si>
  <si>
    <t>PT1606</t>
  </si>
  <si>
    <t>PT1607</t>
  </si>
  <si>
    <t>PT1608</t>
  </si>
  <si>
    <t>PT1609</t>
  </si>
  <si>
    <t>PT1610</t>
  </si>
  <si>
    <t>K2001</t>
  </si>
  <si>
    <t>Revenue Growth (%)</t>
  </si>
  <si>
    <t>Slight dip</t>
  </si>
  <si>
    <t>K2002</t>
  </si>
  <si>
    <t>On-Time Deliveries</t>
  </si>
  <si>
    <t>Traffic delays</t>
  </si>
  <si>
    <t>K2003</t>
  </si>
  <si>
    <t>Fuel Efficiency</t>
  </si>
  <si>
    <t>Improved routes</t>
  </si>
  <si>
    <t>K2004</t>
  </si>
  <si>
    <t>Client Retention %</t>
  </si>
  <si>
    <t>New competitors</t>
  </si>
  <si>
    <t>K2005</t>
  </si>
  <si>
    <t>Avg Profit/Trip</t>
  </si>
  <si>
    <t>Strong margins</t>
  </si>
  <si>
    <t>K2006</t>
  </si>
  <si>
    <t>Vehicle Utilization</t>
  </si>
  <si>
    <t>Idle trucks</t>
  </si>
  <si>
    <t>K2007</t>
  </si>
  <si>
    <t>Maintenance Costs</t>
  </si>
  <si>
    <t>Controlled spend</t>
  </si>
  <si>
    <t>K2008</t>
  </si>
  <si>
    <t>Attendance Rate %</t>
  </si>
  <si>
    <t>Absenteeism spike</t>
  </si>
  <si>
    <t>K2009</t>
  </si>
  <si>
    <t>Payment Collection</t>
  </si>
  <si>
    <t>Pending invoices</t>
  </si>
  <si>
    <t>K2010</t>
  </si>
  <si>
    <t>Inventory Accuracy</t>
  </si>
  <si>
    <t>Stock mismatch</t>
  </si>
  <si>
    <t>8 </t>
  </si>
  <si>
    <t>T1901</t>
  </si>
  <si>
    <t>Ahmed Raza</t>
  </si>
  <si>
    <t>Client</t>
  </si>
  <si>
    <t>ahmed.raza@sikas.com</t>
  </si>
  <si>
    <t>CT1902</t>
  </si>
  <si>
    <t>Supplier</t>
  </si>
  <si>
    <t>info@pakfuel.com</t>
  </si>
  <si>
    <t>CT1903</t>
  </si>
  <si>
    <t>salman.ali@sikas.com</t>
  </si>
  <si>
    <t>Islamabad, Pakistan</t>
  </si>
  <si>
    <t>CT1904</t>
  </si>
  <si>
    <t>sales@megatyres.com</t>
  </si>
  <si>
    <t>Rawalpindi, Pakistan</t>
  </si>
  <si>
    <t>CT1905</t>
  </si>
  <si>
    <t>Partner</t>
  </si>
  <si>
    <t>contact@officemart.pk</t>
  </si>
  <si>
    <t>Faisalabad, Pakistan</t>
  </si>
  <si>
    <t>CT1906</t>
  </si>
  <si>
    <t>Coolant Corp</t>
  </si>
  <si>
    <t>info@coolantcorp.pk</t>
  </si>
  <si>
    <t>Multan, Pakistan</t>
  </si>
  <si>
    <t>CT1907</t>
  </si>
  <si>
    <t>Zenith Oils</t>
  </si>
  <si>
    <t>sales@zenithoils.com</t>
  </si>
  <si>
    <t>Hyderabad, Pakistan</t>
  </si>
  <si>
    <t>CT1908</t>
  </si>
  <si>
    <t>cargo@express.pk</t>
  </si>
  <si>
    <t>Peshawar, Pakistan</t>
  </si>
  <si>
    <t>CT1909</t>
  </si>
  <si>
    <t>Allied Parts</t>
  </si>
  <si>
    <t>allied@parts.pk</t>
  </si>
  <si>
    <t>Gujranwala, Pakistan</t>
  </si>
  <si>
    <t>CT1910</t>
  </si>
  <si>
    <t>fasttrack@log.pk</t>
  </si>
  <si>
    <t>Sialkot, Pakistan</t>
  </si>
  <si>
    <t>SUP1801</t>
  </si>
  <si>
    <t>SUP1802</t>
  </si>
  <si>
    <t>AutoParts Co.</t>
  </si>
  <si>
    <t>Spare Parts</t>
  </si>
  <si>
    <t>autoparts@sikas.com</t>
  </si>
  <si>
    <t>SUP1803</t>
  </si>
  <si>
    <t>Lubricants PK</t>
  </si>
  <si>
    <t>Supplies</t>
  </si>
  <si>
    <t>SUP1804</t>
  </si>
  <si>
    <t>megatyres@sikas.com</t>
  </si>
  <si>
    <t>SUP1805</t>
  </si>
  <si>
    <t>Misc</t>
  </si>
  <si>
    <t>SUP1806</t>
  </si>
  <si>
    <t>SUP1807</t>
  </si>
  <si>
    <t>Battery House</t>
  </si>
  <si>
    <t>SUP1808</t>
  </si>
  <si>
    <t>SafetyGear PK</t>
  </si>
  <si>
    <t>SUP1809</t>
  </si>
  <si>
    <t>SUP1810</t>
  </si>
  <si>
    <t>C01</t>
  </si>
  <si>
    <t>Delivered</t>
  </si>
  <si>
    <t>Status2</t>
  </si>
  <si>
    <t>D601</t>
  </si>
  <si>
    <t>Completed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</si>
  <si>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</si>
  <si>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</si>
  <si>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</si>
  <si>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</si>
  <si>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</si>
  <si>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</si>
  <si>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</si>
  <si>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</si>
  <si>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</si>
  <si>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F701</t>
  </si>
  <si>
    <t>80 L</t>
  </si>
  <si>
    <t>F702</t>
  </si>
  <si>
    <t>40 L</t>
  </si>
  <si>
    <t>F703</t>
  </si>
  <si>
    <t>100 L</t>
  </si>
  <si>
    <t>F704</t>
  </si>
  <si>
    <t>60 L</t>
  </si>
  <si>
    <t>F705</t>
  </si>
  <si>
    <t>50 L</t>
  </si>
  <si>
    <t>F706</t>
  </si>
  <si>
    <t>130 L</t>
  </si>
  <si>
    <t>F707</t>
  </si>
  <si>
    <t>70 L</t>
  </si>
  <si>
    <t>F708</t>
  </si>
  <si>
    <t>35 L</t>
  </si>
  <si>
    <t>F709</t>
  </si>
  <si>
    <t>90 L</t>
  </si>
  <si>
    <t>F710</t>
  </si>
  <si>
    <t>65 L</t>
  </si>
  <si>
    <t>TripFuel</t>
  </si>
  <si>
    <t>I1701</t>
  </si>
  <si>
    <t>Diesel</t>
  </si>
  <si>
    <t>I1702</t>
  </si>
  <si>
    <t>Brake Pads</t>
  </si>
  <si>
    <t>I1703</t>
  </si>
  <si>
    <t>Engine Oil</t>
  </si>
  <si>
    <t>I1704</t>
  </si>
  <si>
    <t>Packaging Boxes</t>
  </si>
  <si>
    <t>I1705</t>
  </si>
  <si>
    <t>Tires</t>
  </si>
  <si>
    <t>I1706</t>
  </si>
  <si>
    <t>Lubricant</t>
  </si>
  <si>
    <t>I1707</t>
  </si>
  <si>
    <t>Filters</t>
  </si>
  <si>
    <t>I1708</t>
  </si>
  <si>
    <t>Coolant</t>
  </si>
  <si>
    <t>I1709</t>
  </si>
  <si>
    <t>Batteries</t>
  </si>
  <si>
    <t>I1710</t>
  </si>
  <si>
    <t>Safety Helmets</t>
  </si>
  <si>
    <t>I1711</t>
  </si>
  <si>
    <t>Diesel Additive</t>
  </si>
  <si>
    <t>I1712</t>
  </si>
  <si>
    <t>Gear Oil</t>
  </si>
  <si>
    <t>I1713</t>
  </si>
  <si>
    <t>Brake Fluid</t>
  </si>
  <si>
    <t>I1714</t>
  </si>
  <si>
    <t>Windshield Wipers</t>
  </si>
  <si>
    <t>I1715</t>
  </si>
  <si>
    <t>Seat Covers</t>
  </si>
  <si>
    <t>I1716</t>
  </si>
  <si>
    <t>I1717</t>
  </si>
  <si>
    <t>I1718</t>
  </si>
  <si>
    <t>I1719</t>
  </si>
  <si>
    <t>I1720</t>
  </si>
  <si>
    <t>I1721</t>
  </si>
  <si>
    <t>I1722</t>
  </si>
  <si>
    <t>I1723</t>
  </si>
  <si>
    <t>I1724</t>
  </si>
  <si>
    <t>I1725</t>
  </si>
  <si>
    <t>I1726</t>
  </si>
  <si>
    <t>I1727</t>
  </si>
  <si>
    <t>I1728</t>
  </si>
  <si>
    <t>I1729</t>
  </si>
  <si>
    <t>I1730</t>
  </si>
  <si>
    <t>I1731</t>
  </si>
  <si>
    <t>I1732</t>
  </si>
  <si>
    <t>I1733</t>
  </si>
  <si>
    <t>I1734</t>
  </si>
  <si>
    <t>I1735</t>
  </si>
  <si>
    <t>I1736</t>
  </si>
  <si>
    <t>I1737</t>
  </si>
  <si>
    <t>I1738</t>
  </si>
  <si>
    <t>I1739</t>
  </si>
  <si>
    <t>I1740</t>
  </si>
  <si>
    <t>I1741</t>
  </si>
  <si>
    <t>I1742</t>
  </si>
  <si>
    <t>I1743</t>
  </si>
  <si>
    <t>I1744</t>
  </si>
  <si>
    <t>I1745</t>
  </si>
  <si>
    <t>I1746</t>
  </si>
  <si>
    <t>I1747</t>
  </si>
  <si>
    <t>I1748</t>
  </si>
  <si>
    <t>I1749</t>
  </si>
  <si>
    <t>I1750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</si>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</sst>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5" x14ac:knownFonts="1">
    <font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49" fontId="0" fillId="0" borderId="0" xfId="0" applyNumberFormat="1"/>
    <xf numFmtId="2" fontId="2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49" fontId="3" fillId="0" borderId="0" xfId="0" applyNumberFormat="1" applyFont="1"/>
    <xf numFmtId="14" fontId="3" fillId="0" borderId="0" xfId="0" applyNumberFormat="1" applyFont="1"/>
    <xf numFmtId="9" fontId="3" fillId="0" borderId="0" xfId="0" applyNumberFormat="1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60">
    <dxf>
      <numFmt numFmtId="14" formatCode="0.00%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164" formatCode="[$-F800]dddd\,\ mmmm\ dd\,\ yyyy"/>
    </dxf>
    <dxf>
      <numFmt numFmtId="30" formatCode="@"/>
    </dxf>
    <dxf>
      <numFmt numFmtId="30" formatCode="@"/>
    </dxf>
    <dxf>
      <numFmt numFmtId="164" formatCode="[$-F800]dddd\,\ mmmm\ dd\,\ yyyy"/>
    </dxf>
    <dxf>
      <numFmt numFmtId="30" formatCode="@"/>
    </dxf>
    <dxf>
      <numFmt numFmtId="164" formatCode="[$-F800]dddd\,\ mmmm\ dd\,\ yyyy"/>
    </dxf>
    <dxf>
      <numFmt numFmtId="30" formatCode="@"/>
    </dxf>
    <dxf>
      <numFmt numFmtId="0" formatCode="General"/>
    </dxf>
    <dxf>
      <numFmt numFmtId="30" formatCode="@"/>
    </dxf>
    <dxf>
      <numFmt numFmtId="164" formatCode="[$-F800]dddd\,\ mmmm\ dd\,\ yyyy"/>
    </dxf>
    <dxf>
      <numFmt numFmtId="30" formatCode="@"/>
    </dxf>
    <dxf>
      <numFmt numFmtId="30" formatCode="@"/>
    </dxf>
    <dxf>
      <numFmt numFmtId="30" formatCode="@"/>
    </dxf>
    <dxf>
      <numFmt numFmtId="164" formatCode="[$-F800]dddd\,\ mmmm\ dd\,\ yyyy"/>
    </dxf>
    <dxf>
      <numFmt numFmtId="1" formatCode="0"/>
    </dxf>
    <dxf>
      <numFmt numFmtId="30" formatCode="@"/>
    </dxf>
    <dxf>
      <numFmt numFmtId="164" formatCode="[$-F800]dddd\,\ mmmm\ dd\,\ yyyy"/>
    </dxf>
    <dxf>
      <numFmt numFmtId="30" formatCode="@"/>
    </dxf>
    <dxf>
      <numFmt numFmtId="164" formatCode="[$-F800]dddd\,\ mmmm\ dd\,\ yyyy"/>
    </dxf>
    <dxf>
      <numFmt numFmtId="30" formatCode="@"/>
      <alignment horizontal="center" vertical="center" textRotation="0" wrapText="0" indent="0" justifyLastLine="0" shrinkToFit="0" readingOrder="0"/>
    </dxf>
    <dxf>
      <numFmt numFmtId="165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</dxf>
    <dxf>
      <numFmt numFmtId="164" formatCode="[$-F800]dddd\,\ mmmm\ dd\,\ yyyy"/>
    </dxf>
    <dxf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font>
        <b/>
        <i/>
      </font>
      <fill>
        <patternFill patternType="solid">
          <fgColor indexed="64"/>
          <bgColor theme="7"/>
        </patternFill>
      </fill>
      <alignment horizont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20320</xdr:colOff>
      <xdr:row>1</xdr:row>
      <xdr:rowOff>193040</xdr:rowOff>
    </xdr:from>
    <xdr:to>
      <xdr:col>17</xdr:col>
      <xdr:colOff>43180</xdr:colOff>
      <xdr:row>30</xdr:row>
      <xdr:rowOff>193040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67EEB-51C8-1886-77FF-12F31006E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8400" y="396240"/>
          <a:ext cx="5783580" cy="5892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AE03A7-5E66-8845-8334-736E7888976D}" name="Table4" displayName="Table4" ref="A1:E100" totalsRowShown="0" headerRowDxfId="59">
  <autoFilter ref="A1:E100" xr:uid="{FAAE03A7-5E66-8845-8334-736E7888976D}"/>
  <tableColumns count="5">
    <tableColumn id="1" xr3:uid="{5C6EAF67-41BC-994F-8BC7-9A8424482566}" name="VehicleID"/>
    <tableColumn id="2" xr3:uid="{FE0B287D-7196-2744-8CB8-D20FFE6889FF}" name="Type" dataDxfId="58"/>
    <tableColumn id="3" xr3:uid="{CC8CBB8D-6F67-E344-82F3-C8FA40A4F183}" name="RegistrationNo" dataDxfId="57"/>
    <tableColumn id="4" xr3:uid="{F8C37C0D-4668-A345-BD25-0D0CE8698677}" name="Capacity"/>
    <tableColumn id="5" xr3:uid="{A0CC450E-6937-914C-B4DF-FA423A997C4D}" name="Status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935F36-790D-3942-8D03-7B7D375B9083}" name="Table5" displayName="Table5" ref="A1:D100" totalsRowShown="0">
  <autoFilter ref="A1:D100" xr:uid="{03935F36-790D-3942-8D03-7B7D375B9083}"/>
  <tableColumns count="4">
    <tableColumn id="1" xr3:uid="{09A356C5-652C-9546-9398-9A7F907104F6}" name="ClientID"/>
    <tableColumn id="2" xr3:uid="{927C6972-B302-CA4D-ADC8-0F7FEE96E1B7}" name="Name" dataDxfId="55"/>
    <tableColumn id="3" xr3:uid="{65A4DADA-8C79-1340-9258-67DBAD02AF45}" name="ContactInfo" dataDxfId="54"/>
    <tableColumn id="4" xr3:uid="{479F9081-FBF0-C848-A1EB-C5F77EE4CDD3}" name="Address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C9CD8-414B-CF44-9183-263AFF3D3938}" name="Table2" displayName="Table2" ref="A1:F100" totalsRowShown="0" headerRowDxfId="52">
  <autoFilter ref="A1:F100" xr:uid="{225C9CD8-414B-CF44-9183-263AFF3D3938}"/>
  <tableColumns count="6">
    <tableColumn id="1" xr3:uid="{A35D262C-B5F3-ED4B-B4F3-E0D48AE5FAAD}" name="Employee ID" dataDxfId="51"/>
    <tableColumn id="2" xr3:uid="{9A4B6945-4D52-104C-BE98-CA41A0004955}" name="Name" dataDxfId="50"/>
    <tableColumn id="3" xr3:uid="{4299E0B4-F7FE-704E-B917-F142479F3A0B}" name="Department ID" dataDxfId="49"/>
    <tableColumn id="4" xr3:uid="{2FAFEEC2-5A06-7C46-A635-CF7CEC7CA1EF}" name="Role " dataDxfId="48"/>
    <tableColumn id="5" xr3:uid="{C7BE64DE-D7E9-CE43-850F-50DC49B22726}" name="Contact" dataDxfId="47"/>
    <tableColumn id="6" xr3:uid="{B3B387F8-FE0B-4846-8FE3-25A858A9CFBE}" name="Column1" dataDxfId="4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A0B3D1-4A86-A84A-AA74-8659C9467085}" name="Table6" displayName="Table6" ref="A1:C100" totalsRowShown="0" headerRowDxfId="45">
  <autoFilter ref="A1:C100" xr:uid="{F3A0B3D1-4A86-A84A-AA74-8659C9467085}"/>
  <tableColumns count="3">
    <tableColumn id="1" xr3:uid="{CBE67E05-C5E9-E942-AAD4-AD6A1DFA50A2}" name="DepartmentID"/>
    <tableColumn id="2" xr3:uid="{92A0BFE2-3882-E049-912E-4D56F0B5DE40}" name="Name" dataDxfId="44"/>
    <tableColumn id="3" xr3:uid="{6E97784B-D242-724F-97AF-1C64AC711790}" name="Manager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9DDA61-365E-184D-8F27-5877FD6DE1E1}" name="Table7" displayName="Table7" ref="A1:F100" totalsRowShown="0" headerRowDxfId="43">
  <autoFilter ref="A1:F100" xr:uid="{CA9DDA61-365E-184D-8F27-5877FD6DE1E1}"/>
  <tableColumns count="6">
    <tableColumn id="1" xr3:uid="{AA3DD173-B739-E249-81F0-0DA0776FE057}" name="OrderID"/>
    <tableColumn id="2" xr3:uid="{D5F6471E-B2B5-7245-97B3-7FF0DE9455FA}" name="ClientID"/>
    <tableColumn id="3" xr3:uid="{140E2871-E733-5C46-A68F-E013DFA981D1}" name="OrderDate" dataDxfId="42"/>
    <tableColumn id="4" xr3:uid="{27156F00-9529-4548-82C8-264633CE9BAD}" name="DriverID" dataDxfId="41"/>
    <tableColumn id="5" xr3:uid="{60401137-94A4-9B46-984F-E093A6B2E37B}" name="VehicleID"/>
    <tableColumn id="6" xr3:uid="{729A561E-116D-3E49-BB4C-91D06C21B352}" name="Status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604CF-3BBF-A74C-8BED-82EB81350C51}" name="Table1" displayName="Table1" ref="A1:D100" totalsRowShown="0" headerRowDxfId="40" dataDxfId="39">
  <autoFilter ref="A1:D100" xr:uid="{552604CF-3BBF-A74C-8BED-82EB81350C51}"/>
  <tableColumns count="4">
    <tableColumn id="1" xr3:uid="{C1A45DE0-F6BC-4646-A3E1-75BFBD6D6916}" name="DeliveryID" dataDxfId="38"/>
    <tableColumn id="2" xr3:uid="{DDD7E792-F005-D34E-A539-DEB2E84CF714}" name="OrderID" dataDxfId="37"/>
    <tableColumn id="3" xr3:uid="{FE340181-5FDC-8C44-83E7-573EAD781BFC}" name="DeliveryDate" dataDxfId="36"/>
    <tableColumn id="4" xr3:uid="{9DD8F26A-BB15-9346-8BEF-128A96C2826F}" name="DeliveryStatus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FBA2B1-2144-854E-B70A-32460A80B148}" name="Table3" displayName="Table3" ref="A1:E100" totalsRowShown="0">
  <autoFilter ref="A1:E100" xr:uid="{83FBA2B1-2144-854E-B70A-32460A80B148}"/>
  <tableColumns count="5">
    <tableColumn id="1" xr3:uid="{9D0CCF9F-3E88-FF40-AB08-6C0B7545AF90}" name="UsageID"/>
    <tableColumn id="2" xr3:uid="{68713220-CDDB-C148-8DC7-94E510BAE472}" name="VehicleID"/>
    <tableColumn id="3" xr3:uid="{0BB24B61-7FCA-6F4E-823A-A68BA8FBA266}" name="Date" dataDxfId="34"/>
    <tableColumn id="4" xr3:uid="{34213A02-29C3-D64F-B34C-11F71219B663}" name="DistanceTravelled"/>
    <tableColumn id="5" xr3:uid="{C0D7B7BB-D700-3741-90A0-6CD8B3D94571}" name="TripFuel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2D55C3-EE56-8A42-AEFB-81719D4FA95F}" name="Table8" displayName="Table8" ref="A1:E100" totalsRowShown="0">
  <autoFilter ref="A1:E100" xr:uid="{192D55C3-EE56-8A42-AEFB-81719D4FA95F}"/>
  <tableColumns count="5">
    <tableColumn id="1" xr3:uid="{A2ED0DA4-DB1D-CC43-9EFB-175AB1A6EEB4}" name="Maintenance"/>
    <tableColumn id="2" xr3:uid="{129BAFFF-1DB3-A54C-8BF4-5BB1BBDA49C9}" name="VehicleID"/>
    <tableColumn id="3" xr3:uid="{566E8C0C-A3F7-F64B-8233-B8F545D94DF5}" name="Date" dataDxfId="32"/>
    <tableColumn id="4" xr3:uid="{E63B15CE-F7D8-2145-94EC-30C47D653AB8}" name="Cost" dataDxfId="31"/>
    <tableColumn id="5" xr3:uid="{4DCADB6F-BEE1-8F47-96B9-0F23889227FA}" name="Type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F4F472-F5B1-1B40-9039-0AF9867D2D7A}" name="Table9" displayName="Table9" ref="A1:E100" totalsRowShown="0">
  <autoFilter ref="A1:E100" xr:uid="{48F4F472-F5B1-1B40-9039-0AF9867D2D7A}"/>
  <tableColumns count="5">
    <tableColumn id="1" xr3:uid="{9E18655E-78D2-BB4C-9543-78D64A6E326A}" name="FuelID"/>
    <tableColumn id="2" xr3:uid="{E30B8A22-9C17-E54D-B6FB-E0FE9A67BC0C}" name="VehicleID"/>
    <tableColumn id="3" xr3:uid="{1E798CB6-4D54-7645-A474-3232DFE644A2}" name="Date" dataDxfId="29"/>
    <tableColumn id="4" xr3:uid="{F45579DC-A021-E44E-8F76-8D97D9780E30}" name="FuelLiters"/>
    <tableColumn id="5" xr3:uid="{62C419A4-A444-C74E-95DC-718ED9C74958}" name="Cos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449E7E-6885-2743-9260-70AAE3472EB8}" name="Table10" displayName="Table10" ref="A1:D100" totalsRowShown="0">
  <autoFilter ref="A1:D100" xr:uid="{73449E7E-6885-2743-9260-70AAE3472EB8}"/>
  <tableColumns count="4">
    <tableColumn id="1" xr3:uid="{97B8B1CC-A4E8-8A4C-AE11-3E46C120DE12}" name="DriverID"/>
    <tableColumn id="2" xr3:uid="{064754BB-686D-E646-9EE5-89D371DADD83}" name="Name" dataDxfId="28"/>
    <tableColumn id="3" xr3:uid="{C840BDAC-3CCB-DA46-8CC6-B5D2334D06D3}" name="LicenseNo" dataDxfId="27"/>
    <tableColumn id="4" xr3:uid="{791D42A9-6939-8441-B562-C0FF35F3633B}" name="ContactInfo" dataDxfId="2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25D8B3-F446-FA43-B18D-FC9BAF7A04EE}" name="Table11" displayName="Table11" ref="A1:D100" totalsRowShown="0">
  <autoFilter ref="A1:D100" xr:uid="{9B25D8B3-F446-FA43-B18D-FC9BAF7A04EE}"/>
  <tableColumns count="4">
    <tableColumn id="1" xr3:uid="{B7826533-9182-D945-AE5C-5E77CB684FFC}" name="AttendanceID"/>
    <tableColumn id="2" xr3:uid="{68E30087-A930-8643-A27B-6541F2A390E0}" name="DriversID"/>
    <tableColumn id="3" xr3:uid="{DFE0263B-A295-3746-94FD-F8F529E4DAB6}" name="Date" dataDxfId="25"/>
    <tableColumn id="4" xr3:uid="{0D0577C6-CA6E-6A48-B4A5-ECD11CD05359}" name="Status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E796F4-C722-7A40-B72E-3729772A703F}" name="Table12" displayName="Table12" ref="A1:E100" totalsRowShown="0">
  <autoFilter ref="A1:E100" xr:uid="{A2E796F4-C722-7A40-B72E-3729772A703F}"/>
  <tableColumns count="5">
    <tableColumn id="1" xr3:uid="{D6C113C7-D4FB-544E-A05C-47DB8AC297EB}" name="SalaryID"/>
    <tableColumn id="2" xr3:uid="{AC6E2872-11C7-2B48-A734-9E8BB9E02686}" name="EmployeeID"/>
    <tableColumn id="3" xr3:uid="{BFCD1CCF-4A85-9A4A-B401-B68DA23B2871}" name="Month" dataDxfId="23"/>
    <tableColumn id="4" xr3:uid="{A0097F6F-7B21-C241-A50F-53017166210F}" name="Amount"/>
    <tableColumn id="5" xr3:uid="{D2292379-4030-FB48-9F7A-6F8E97BDBCDF}" name="Status" dataDxfId="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962CAE-FFD2-DB4A-927D-E9B9CDF4F9B6}" name="Table13" displayName="Table13" ref="A1:E100" totalsRowShown="0">
  <autoFilter ref="A1:E100" xr:uid="{CD962CAE-FFD2-DB4A-927D-E9B9CDF4F9B6}"/>
  <tableColumns count="5">
    <tableColumn id="1" xr3:uid="{CB720671-BBF3-D342-A4ED-D92AE3B1A335}" name="RevenueID"/>
    <tableColumn id="2" xr3:uid="{F3658A12-70C0-FB45-9A19-D3FF40ABBEBB}" name="OrderID"/>
    <tableColumn id="3" xr3:uid="{07762912-D4E3-294D-A180-5ED884889D77}" name="Date" dataDxfId="21"/>
    <tableColumn id="4" xr3:uid="{1471B942-CF8C-6F47-BB96-D342A781D8D1}" name="Amount"/>
    <tableColumn id="5" xr3:uid="{3E65595B-99A2-254A-B419-5CE5DE4DEB75}" name="PaymentStatus" dataDxfId="2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9E8D65-6FF6-2B49-AA14-D757A91D91C6}" name="Table14" displayName="Table14" ref="A1:E100" totalsRowShown="0">
  <autoFilter ref="A1:E100" xr:uid="{389E8D65-6FF6-2B49-AA14-D757A91D91C6}"/>
  <tableColumns count="5">
    <tableColumn id="1" xr3:uid="{640BD782-9E41-E344-9813-3A5A531AFD48}" name="ExpenseID"/>
    <tableColumn id="2" xr3:uid="{25AFCEE4-BF99-F946-81EC-53BEC17708CA}" name="Date" dataDxfId="19"/>
    <tableColumn id="3" xr3:uid="{231CA5FE-2EB9-5D4A-A264-810D616870A1}" name="Category" dataDxfId="18"/>
    <tableColumn id="4" xr3:uid="{3563BC9F-EB2F-6149-A332-8B7958608A84}" name="Amount"/>
    <tableColumn id="5" xr3:uid="{2C2DB910-FD6D-EA43-9C38-8C16A57039E0}" name="Notes" dataDxfId="1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1000DAA-6DCB-5E4D-8A07-DD0D7229357B}" name="Table15" displayName="Table15" ref="A1:F100" totalsRowShown="0">
  <autoFilter ref="A1:F100" xr:uid="{91000DAA-6DCB-5E4D-8A07-DD0D7229357B}"/>
  <tableColumns count="6">
    <tableColumn id="1" xr3:uid="{BA7D593B-698F-2348-96B2-0202000BAA7B}" name="PaymentID"/>
    <tableColumn id="2" xr3:uid="{4D8ABF81-BE44-7E4A-AD7A-FB88860D89C9}" name="OrderID"/>
    <tableColumn id="3" xr3:uid="{868E6E36-4787-3141-AF7F-0E66831FEF05}" name="Date" dataDxfId="16"/>
    <tableColumn id="4" xr3:uid="{D7A0E185-C8F3-6B47-9E33-58FFF1FE1DCD}" name="Amount"/>
    <tableColumn id="5" xr3:uid="{81328C5A-0348-A54C-BA20-4746A9EEF2D3}" name="Method" dataDxfId="15"/>
    <tableColumn id="6" xr3:uid="{C0E36D40-F753-244B-A63A-11884F2B313B}" name="Status" dataDxfId="1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F7B52E-3FBB-2247-B342-608A4E68E278}" name="Table16" displayName="Table16" ref="A1:E100" totalsRowShown="0">
  <autoFilter ref="A1:E100" xr:uid="{6BF7B52E-3FBB-2247-B342-608A4E68E278}"/>
  <tableColumns count="5">
    <tableColumn id="1" xr3:uid="{26E92506-B72A-A546-B5CA-99E0CB20287A}" name="TripID"/>
    <tableColumn id="2" xr3:uid="{96A15FCE-37A2-134A-BBED-85E1FF1B3594}" name="OrderID"/>
    <tableColumn id="3" xr3:uid="{E6437135-AD30-7742-815F-5BFDBA068D73}" name="Revenue"/>
    <tableColumn id="4" xr3:uid="{EF689D23-9EB5-6A4F-8350-4C131921B642}" name="Expenses"/>
    <tableColumn id="5" xr3:uid="{FC129152-7AD0-C941-8847-16ED57C1872C}" name="Profit" dataDxfId="13">
      <calculatedColumnFormula>Table16[[#This Row],[Revenue]]-Table16[[#This Row],[Expenses]]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5BE6DA8-C464-4E4C-8D97-0A5E330EAC0E}" name="Table17" displayName="Table17" ref="A1:F100" totalsRowShown="0">
  <autoFilter ref="A1:F100" xr:uid="{25BE6DA8-C464-4E4C-8D97-0A5E330EAC0E}"/>
  <tableColumns count="6">
    <tableColumn id="1" xr3:uid="{CD88DA72-2768-794A-8C25-0525410D473D}" name="ItemID"/>
    <tableColumn id="2" xr3:uid="{E8DADCCB-5188-1C41-B745-7543EFCD2BD2}" name="ItemName" dataDxfId="12"/>
    <tableColumn id="3" xr3:uid="{CA1C56D8-0128-3749-A397-5E6BFECD4304}" name="Category" dataDxfId="11"/>
    <tableColumn id="4" xr3:uid="{CF4F5A18-1409-A14F-A0D0-490EB606867D}" name="Quantity"/>
    <tableColumn id="5" xr3:uid="{D6695CAC-8D65-CF49-80CF-6C4B91D0A5D4}" name="UnitCost"/>
    <tableColumn id="6" xr3:uid="{B4ED8D22-D213-A24E-B7D5-BAD1E8D9CB76}" name="TotalValue" dataDxfId="10">
      <calculatedColumnFormula>Table17[[#This Row],[Quantity]]*Table17[[#This Row],[UnitCost]]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7E49DB2-60B3-A548-A64F-9765061DF1C6}" name="Table18" displayName="Table18" ref="A1:E100" totalsRowShown="0">
  <autoFilter ref="A1:E100" xr:uid="{B7E49DB2-60B3-A548-A64F-9765061DF1C6}"/>
  <tableColumns count="5">
    <tableColumn id="1" xr3:uid="{00C67019-0E3B-FC4C-AB9F-C44EC7CB6C40}" name="SupplierID"/>
    <tableColumn id="2" xr3:uid="{F2ECB6FA-14D3-6042-81DD-61CA4B6E1F28}" name="Name" dataDxfId="9"/>
    <tableColumn id="3" xr3:uid="{5339C4AF-91D0-8140-B884-911E580D57D3}" name="Category" dataDxfId="8"/>
    <tableColumn id="4" xr3:uid="{E1BB973F-4E9D-B141-92BD-E8C4DE62EC1F}" name="ContactInfo" dataDxfId="7"/>
    <tableColumn id="5" xr3:uid="{B1C62E89-67D0-2A47-8782-EF4671DE215C}" name="Address" dataDxfId="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E9D2B9-95F9-764E-B8FA-72F0D33B3E2A}" name="Table19" displayName="Table19" ref="A1:F100" totalsRowShown="0">
  <autoFilter ref="A1:F100" xr:uid="{35E9D2B9-95F9-764E-B8FA-72F0D33B3E2A}"/>
  <tableColumns count="6">
    <tableColumn id="1" xr3:uid="{B4EA9A26-C265-EA43-8F6D-14DD7E84BFA8}" name="ContactID"/>
    <tableColumn id="2" xr3:uid="{331EF88A-696C-0F43-960A-3895891E5D52}" name="Name" dataDxfId="5"/>
    <tableColumn id="3" xr3:uid="{8D1D3DEE-E2E9-394B-91AA-DD17E225ABDD}" name="Type" dataDxfId="4"/>
    <tableColumn id="4" xr3:uid="{B882D248-3EB5-2F45-98EA-7B63FCE6A24E}" name="Phone" dataDxfId="3"/>
    <tableColumn id="5" xr3:uid="{D684D8E3-BAB8-BD4C-9942-72163065DF37}" name="Email"/>
    <tableColumn id="6" xr3:uid="{E3AD8A39-24FE-BA4B-B3DE-42515E690411}" name="Addres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1C7FA3B-3FCC-DE4E-90C5-148585485D1B}" name="Table20" displayName="Table20" ref="A1:F100" totalsRowShown="0">
  <autoFilter ref="A1:F100" xr:uid="{B1C7FA3B-3FCC-DE4E-90C5-148585485D1B}"/>
  <tableColumns count="6">
    <tableColumn id="1" xr3:uid="{DE158751-C8E0-8B45-BBDD-09964355C519}" name="KPIID"/>
    <tableColumn id="2" xr3:uid="{BA892496-993A-C047-B99D-558B67BFCCFC}" name="Metric" dataDxfId="2"/>
    <tableColumn id="3" xr3:uid="{21012AB2-62D5-9345-B505-9B2E3B072E77}" name="Target" dataDxfId="1"/>
    <tableColumn id="4" xr3:uid="{14273D1D-9E88-7B49-A565-1E58E93D12D5}" name="Actual"/>
    <tableColumn id="5" xr3:uid="{811A7A89-70C5-3149-A2F6-97D39EDD0F79}" name="Variance" dataDxfId="0">
      <calculatedColumnFormula>Table20[[#This Row],[Actual]]-Table20[[#This Row],[Target]]</calculatedColumnFormula>
    </tableColumn>
    <tableColumn id="6" xr3:uid="{F75D8B52-D29B-1E4B-8EC5-6393FF7F08F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3090-5F48-1249-80A1-0278A49895C1}">
  <dimension ref="A1:E12"/>
  <sheetViews>
    <sheetView workbookViewId="0">
      <pane ySplit="1" topLeftCell="A2" activePane="bottomLeft" state="frozen"/>
      <selection pane="bottomLeft" activeCell="A2" sqref="A2:E12"/>
    </sheetView>
  </sheetViews>
  <sheetFormatPr baseColWidth="10" defaultRowHeight="16" x14ac:dyDescent="0.2"/>
  <cols>
    <col min="1" max="1" width="14.1640625" bestFit="1" customWidth="1"/>
    <col min="2" max="2" width="17.5" style="4" customWidth="1"/>
    <col min="3" max="3" width="22.83203125" style="4" customWidth="1"/>
    <col min="4" max="4" width="19.33203125" customWidth="1"/>
    <col min="5" max="5" width="13.33203125" customWidth="1"/>
  </cols>
  <sheetData>
    <row r="1" spans="1:5" x14ac:dyDescent="0.2">
      <c r="A1" s="2" t="s">
        <v>5</v>
      </c>
      <c r="B1" s="10" t="s">
        <v>6</v>
      </c>
      <c r="C1" s="10" t="s">
        <v>7</v>
      </c>
      <c r="D1" s="2" t="s">
        <v>8</v>
      </c>
      <c r="E1" s="2" t="s">
        <v>9</v>
      </c>
    </row>
    <row r="2" spans="1:5" x14ac:dyDescent="0.2">
      <c r="A2" s="19" t="s">
        <v>5</v>
      </c>
      <c r="B2" s="19" t="s">
        <v>84</v>
      </c>
      <c r="C2" s="19" t="s">
        <v>6</v>
      </c>
      <c r="D2" s="19" t="s">
        <v>8</v>
      </c>
      <c r="E2" s="19" t="s">
        <v>9</v>
      </c>
    </row>
    <row r="3" spans="1:5" x14ac:dyDescent="0.2">
      <c r="A3" s="18" t="s">
        <v>85</v>
      </c>
      <c r="B3" s="18" t="s">
        <v>86</v>
      </c>
      <c r="C3" s="18" t="s">
        <v>87</v>
      </c>
      <c r="D3" s="18" t="s">
        <v>88</v>
      </c>
      <c r="E3" s="18" t="s">
        <v>89</v>
      </c>
    </row>
    <row r="4" spans="1:5" x14ac:dyDescent="0.2">
      <c r="A4" s="18" t="s">
        <v>90</v>
      </c>
      <c r="B4" s="18" t="s">
        <v>91</v>
      </c>
      <c r="C4" s="18" t="s">
        <v>92</v>
      </c>
      <c r="D4" s="18" t="s">
        <v>93</v>
      </c>
      <c r="E4" s="18" t="s">
        <v>89</v>
      </c>
    </row>
    <row r="5" spans="1:5" x14ac:dyDescent="0.2">
      <c r="A5" s="18" t="s">
        <v>94</v>
      </c>
      <c r="B5" s="18" t="s">
        <v>95</v>
      </c>
      <c r="C5" s="18" t="s">
        <v>96</v>
      </c>
      <c r="D5" s="18" t="s">
        <v>97</v>
      </c>
      <c r="E5" s="18" t="s">
        <v>98</v>
      </c>
    </row>
    <row r="6" spans="1:5" x14ac:dyDescent="0.2">
      <c r="A6" s="18" t="s">
        <v>99</v>
      </c>
      <c r="B6" s="18" t="s">
        <v>100</v>
      </c>
      <c r="C6" s="18" t="s">
        <v>87</v>
      </c>
      <c r="D6" s="18" t="s">
        <v>101</v>
      </c>
      <c r="E6" s="18" t="s">
        <v>89</v>
      </c>
    </row>
    <row r="7" spans="1:5" x14ac:dyDescent="0.2">
      <c r="A7" s="18" t="s">
        <v>102</v>
      </c>
      <c r="B7" s="18" t="s">
        <v>103</v>
      </c>
      <c r="C7" s="18" t="s">
        <v>92</v>
      </c>
      <c r="D7" s="18" t="s">
        <v>104</v>
      </c>
      <c r="E7" s="18" t="s">
        <v>89</v>
      </c>
    </row>
    <row r="8" spans="1:5" x14ac:dyDescent="0.2">
      <c r="A8" s="18" t="s">
        <v>105</v>
      </c>
      <c r="B8" s="18" t="s">
        <v>106</v>
      </c>
      <c r="C8" s="18" t="s">
        <v>96</v>
      </c>
      <c r="D8" s="18" t="s">
        <v>107</v>
      </c>
      <c r="E8" s="18" t="s">
        <v>89</v>
      </c>
    </row>
    <row r="9" spans="1:5" x14ac:dyDescent="0.2">
      <c r="A9" s="18" t="s">
        <v>108</v>
      </c>
      <c r="B9" s="18" t="s">
        <v>109</v>
      </c>
      <c r="C9" s="18" t="s">
        <v>87</v>
      </c>
      <c r="D9" s="18" t="s">
        <v>110</v>
      </c>
      <c r="E9" s="18" t="s">
        <v>89</v>
      </c>
    </row>
    <row r="10" spans="1:5" x14ac:dyDescent="0.2">
      <c r="A10" s="18" t="s">
        <v>111</v>
      </c>
      <c r="B10" s="18" t="s">
        <v>112</v>
      </c>
      <c r="C10" s="18" t="s">
        <v>92</v>
      </c>
      <c r="D10" s="18" t="s">
        <v>93</v>
      </c>
      <c r="E10" s="18" t="s">
        <v>89</v>
      </c>
    </row>
    <row r="11" spans="1:5" x14ac:dyDescent="0.2">
      <c r="A11" s="18" t="s">
        <v>113</v>
      </c>
      <c r="B11" s="18" t="s">
        <v>114</v>
      </c>
      <c r="C11" s="18" t="s">
        <v>96</v>
      </c>
      <c r="D11" s="18" t="s">
        <v>115</v>
      </c>
      <c r="E11" s="18" t="s">
        <v>98</v>
      </c>
    </row>
    <row r="12" spans="1:5" x14ac:dyDescent="0.2">
      <c r="A12" s="18" t="s">
        <v>116</v>
      </c>
      <c r="B12" s="18" t="s">
        <v>117</v>
      </c>
      <c r="C12" s="18" t="s">
        <v>87</v>
      </c>
      <c r="D12" s="18" t="s">
        <v>118</v>
      </c>
      <c r="E12" s="18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B144-8656-064B-97FB-230E729A3697}">
  <dimension ref="A1:D11"/>
  <sheetViews>
    <sheetView workbookViewId="0">
      <pane ySplit="1" topLeftCell="A8" activePane="bottomLeft" state="frozen"/>
      <selection pane="bottomLeft" activeCell="C24" sqref="C24"/>
    </sheetView>
  </sheetViews>
  <sheetFormatPr baseColWidth="10" defaultRowHeight="16" x14ac:dyDescent="0.2"/>
  <cols>
    <col min="1" max="1" width="10.33203125" customWidth="1"/>
    <col min="2" max="2" width="34.1640625" style="4" customWidth="1"/>
    <col min="3" max="3" width="23.5" style="4" customWidth="1"/>
    <col min="4" max="4" width="32.5" style="4" customWidth="1"/>
  </cols>
  <sheetData>
    <row r="1" spans="1:4" x14ac:dyDescent="0.2">
      <c r="A1" t="s">
        <v>10</v>
      </c>
      <c r="B1" s="4" t="s">
        <v>1</v>
      </c>
      <c r="C1" s="4" t="s">
        <v>11</v>
      </c>
      <c r="D1" s="4" t="s">
        <v>12</v>
      </c>
    </row>
    <row r="2" spans="1:4" x14ac:dyDescent="0.2">
      <c r="A2" s="18">
        <v>1</v>
      </c>
      <c r="B2" s="18" t="s">
        <v>119</v>
      </c>
      <c r="C2" s="21">
        <f>92-300-9876543</f>
        <v>-9876751</v>
      </c>
      <c r="D2" s="18" t="s">
        <v>120</v>
      </c>
    </row>
    <row r="3" spans="1:4" x14ac:dyDescent="0.2">
      <c r="A3" s="18" t="s">
        <v>121</v>
      </c>
      <c r="B3" s="18" t="s">
        <v>122</v>
      </c>
      <c r="C3" s="21">
        <f>92-333-1234567</f>
        <v>-1234808</v>
      </c>
      <c r="D3" s="18" t="s">
        <v>123</v>
      </c>
    </row>
    <row r="4" spans="1:4" x14ac:dyDescent="0.2">
      <c r="A4" s="18" t="s">
        <v>124</v>
      </c>
      <c r="B4" s="18" t="s">
        <v>125</v>
      </c>
      <c r="C4" s="21">
        <f>92-321-5556677</f>
        <v>-5556906</v>
      </c>
      <c r="D4" s="18" t="s">
        <v>126</v>
      </c>
    </row>
    <row r="5" spans="1:4" x14ac:dyDescent="0.2">
      <c r="A5" s="18" t="s">
        <v>127</v>
      </c>
      <c r="B5" s="18" t="s">
        <v>128</v>
      </c>
      <c r="C5" s="21">
        <f>92-345-1112233</f>
        <v>-1112486</v>
      </c>
      <c r="D5" s="18" t="s">
        <v>129</v>
      </c>
    </row>
    <row r="6" spans="1:4" x14ac:dyDescent="0.2">
      <c r="A6" s="18" t="s">
        <v>130</v>
      </c>
      <c r="B6" s="18" t="s">
        <v>131</v>
      </c>
      <c r="C6" s="21">
        <f>92-300-4445566</f>
        <v>-4445774</v>
      </c>
      <c r="D6" s="18" t="s">
        <v>132</v>
      </c>
    </row>
    <row r="7" spans="1:4" x14ac:dyDescent="0.2">
      <c r="A7" s="18" t="s">
        <v>133</v>
      </c>
      <c r="B7" s="18" t="s">
        <v>134</v>
      </c>
      <c r="C7" s="21">
        <f>92-333-7778899</f>
        <v>-7779140</v>
      </c>
      <c r="D7" s="18" t="s">
        <v>135</v>
      </c>
    </row>
    <row r="8" spans="1:4" x14ac:dyDescent="0.2">
      <c r="A8" s="18" t="s">
        <v>136</v>
      </c>
      <c r="B8" s="18" t="s">
        <v>137</v>
      </c>
      <c r="C8" s="21">
        <f>92-321-2223344</f>
        <v>-2223573</v>
      </c>
      <c r="D8" s="18" t="s">
        <v>138</v>
      </c>
    </row>
    <row r="9" spans="1:4" x14ac:dyDescent="0.2">
      <c r="A9" s="18" t="s">
        <v>139</v>
      </c>
      <c r="B9" s="18" t="s">
        <v>140</v>
      </c>
      <c r="C9" s="21">
        <f>92-345-5556677</f>
        <v>-5556930</v>
      </c>
      <c r="D9" s="18" t="s">
        <v>141</v>
      </c>
    </row>
    <row r="10" spans="1:4" x14ac:dyDescent="0.2">
      <c r="A10" s="18" t="s">
        <v>142</v>
      </c>
      <c r="B10" s="18" t="s">
        <v>143</v>
      </c>
      <c r="C10" s="21">
        <f>92-300-8889900</f>
        <v>-8890108</v>
      </c>
      <c r="D10" s="18" t="s">
        <v>144</v>
      </c>
    </row>
    <row r="11" spans="1:4" x14ac:dyDescent="0.2">
      <c r="A11" s="18" t="s">
        <v>145</v>
      </c>
      <c r="B11" s="18" t="s">
        <v>146</v>
      </c>
      <c r="C11" s="21">
        <f>92-333-9991122</f>
        <v>-9991363</v>
      </c>
      <c r="D11" s="18" t="s">
        <v>147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E95F-C889-AD49-95BC-A93DF422D9A8}">
  <dimension ref="A1:F11"/>
  <sheetViews>
    <sheetView tabSelected="1" zoomScale="125" workbookViewId="0">
      <pane ySplit="1" topLeftCell="A2" activePane="bottomLeft" state="frozen"/>
      <selection pane="bottomLeft" activeCell="H14" sqref="H14"/>
    </sheetView>
  </sheetViews>
  <sheetFormatPr baseColWidth="10" defaultRowHeight="16" x14ac:dyDescent="0.2"/>
  <cols>
    <col min="1" max="1" width="16.83203125" style="3" bestFit="1" customWidth="1"/>
    <col min="2" max="2" width="24" style="4" customWidth="1"/>
    <col min="3" max="3" width="18.83203125" style="3" bestFit="1" customWidth="1"/>
    <col min="4" max="4" width="19.33203125" style="4" customWidth="1"/>
    <col min="5" max="5" width="32.1640625" customWidth="1"/>
    <col min="6" max="6" width="21.6640625" customWidth="1"/>
  </cols>
  <sheetData>
    <row r="1" spans="1:6" s="2" customFormat="1" x14ac:dyDescent="0.2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24" t="s">
        <v>490</v>
      </c>
    </row>
    <row r="2" spans="1:6" x14ac:dyDescent="0.2">
      <c r="A2" s="18">
        <v>101</v>
      </c>
      <c r="B2" s="18" t="s">
        <v>62</v>
      </c>
      <c r="C2" s="18" t="s">
        <v>63</v>
      </c>
      <c r="D2" s="18" t="s">
        <v>64</v>
      </c>
      <c r="E2" s="18">
        <f>92-300-1112233</f>
        <v>-1112441</v>
      </c>
    </row>
    <row r="3" spans="1:6" x14ac:dyDescent="0.2">
      <c r="A3" s="18">
        <v>102</v>
      </c>
      <c r="B3" s="18" t="s">
        <v>65</v>
      </c>
      <c r="C3" s="18" t="s">
        <v>66</v>
      </c>
      <c r="D3" s="18" t="s">
        <v>67</v>
      </c>
      <c r="E3" s="18">
        <f>92-333-2223344</f>
        <v>-2223585</v>
      </c>
    </row>
    <row r="4" spans="1:6" x14ac:dyDescent="0.2">
      <c r="A4" s="18">
        <v>103</v>
      </c>
      <c r="B4" s="18" t="s">
        <v>68</v>
      </c>
      <c r="C4" s="18" t="s">
        <v>63</v>
      </c>
      <c r="D4" s="18" t="s">
        <v>69</v>
      </c>
      <c r="E4" s="18">
        <f>92-321-5556677</f>
        <v>-5556906</v>
      </c>
    </row>
    <row r="5" spans="1:6" x14ac:dyDescent="0.2">
      <c r="A5" s="18">
        <v>104</v>
      </c>
      <c r="B5" s="18" t="s">
        <v>70</v>
      </c>
      <c r="C5" s="18" t="s">
        <v>71</v>
      </c>
      <c r="D5" s="18" t="s">
        <v>72</v>
      </c>
      <c r="E5" s="18">
        <f>92-345-1112233</f>
        <v>-1112486</v>
      </c>
    </row>
    <row r="6" spans="1:6" x14ac:dyDescent="0.2">
      <c r="A6" s="18">
        <v>105</v>
      </c>
      <c r="B6" s="18" t="s">
        <v>73</v>
      </c>
      <c r="C6" s="18" t="s">
        <v>63</v>
      </c>
      <c r="D6" s="18" t="s">
        <v>64</v>
      </c>
      <c r="E6" s="18">
        <f>92-300-4445566</f>
        <v>-4445774</v>
      </c>
    </row>
    <row r="7" spans="1:6" x14ac:dyDescent="0.2">
      <c r="A7" s="18">
        <v>106</v>
      </c>
      <c r="B7" s="18" t="s">
        <v>74</v>
      </c>
      <c r="C7" s="18" t="s">
        <v>66</v>
      </c>
      <c r="D7" s="18" t="s">
        <v>75</v>
      </c>
      <c r="E7" s="18">
        <f>92-333-7778899</f>
        <v>-7779140</v>
      </c>
    </row>
    <row r="8" spans="1:6" x14ac:dyDescent="0.2">
      <c r="A8" s="18">
        <v>107</v>
      </c>
      <c r="B8" s="18" t="s">
        <v>76</v>
      </c>
      <c r="C8" s="18" t="s">
        <v>77</v>
      </c>
      <c r="D8" s="18" t="s">
        <v>78</v>
      </c>
      <c r="E8" s="18">
        <f>92-321-2223344</f>
        <v>-2223573</v>
      </c>
    </row>
    <row r="9" spans="1:6" x14ac:dyDescent="0.2">
      <c r="A9" s="18">
        <v>108</v>
      </c>
      <c r="B9" s="18" t="s">
        <v>79</v>
      </c>
      <c r="C9" s="18" t="s">
        <v>71</v>
      </c>
      <c r="D9" s="18" t="s">
        <v>80</v>
      </c>
      <c r="E9" s="18">
        <f>92-345-5556677</f>
        <v>-5556930</v>
      </c>
    </row>
    <row r="10" spans="1:6" x14ac:dyDescent="0.2">
      <c r="A10" s="18">
        <v>109</v>
      </c>
      <c r="B10" s="18" t="s">
        <v>81</v>
      </c>
      <c r="C10" s="18" t="s">
        <v>63</v>
      </c>
      <c r="D10" s="18" t="s">
        <v>64</v>
      </c>
      <c r="E10" s="18">
        <f>92-300-8889900</f>
        <v>-8890108</v>
      </c>
    </row>
    <row r="11" spans="1:6" x14ac:dyDescent="0.2">
      <c r="A11" s="18">
        <v>110</v>
      </c>
      <c r="B11" s="18" t="s">
        <v>82</v>
      </c>
      <c r="C11" s="18" t="s">
        <v>66</v>
      </c>
      <c r="D11" s="18" t="s">
        <v>83</v>
      </c>
      <c r="E11" s="18">
        <f>92-333-9991122</f>
        <v>-9991363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69D5-8979-4147-92C8-9AF260EE68F8}">
  <dimension ref="A1:C11"/>
  <sheetViews>
    <sheetView workbookViewId="0">
      <pane ySplit="1" topLeftCell="A2" activePane="bottomLeft" state="frozen"/>
      <selection pane="bottomLeft" activeCell="B6" sqref="B6"/>
    </sheetView>
  </sheetViews>
  <sheetFormatPr baseColWidth="10" defaultRowHeight="16" x14ac:dyDescent="0.2"/>
  <cols>
    <col min="1" max="1" width="18.1640625" customWidth="1"/>
    <col min="2" max="2" width="28" style="4" customWidth="1"/>
    <col min="3" max="3" width="14.5" customWidth="1"/>
  </cols>
  <sheetData>
    <row r="1" spans="1:3" x14ac:dyDescent="0.2">
      <c r="A1" s="1" t="s">
        <v>13</v>
      </c>
      <c r="B1" s="11" t="s">
        <v>1</v>
      </c>
      <c r="C1" s="1" t="s">
        <v>14</v>
      </c>
    </row>
    <row r="2" spans="1:3" x14ac:dyDescent="0.2">
      <c r="A2" s="18" t="s">
        <v>63</v>
      </c>
      <c r="B2" s="18" t="s">
        <v>148</v>
      </c>
      <c r="C2" s="18" t="s">
        <v>62</v>
      </c>
    </row>
    <row r="3" spans="1:3" x14ac:dyDescent="0.2">
      <c r="A3" s="18" t="s">
        <v>66</v>
      </c>
      <c r="B3" s="18" t="s">
        <v>16</v>
      </c>
      <c r="C3" s="18" t="s">
        <v>65</v>
      </c>
    </row>
    <row r="4" spans="1:3" x14ac:dyDescent="0.2">
      <c r="A4" s="18" t="s">
        <v>71</v>
      </c>
      <c r="B4" s="18" t="s">
        <v>15</v>
      </c>
      <c r="C4" s="18" t="s">
        <v>70</v>
      </c>
    </row>
    <row r="5" spans="1:3" x14ac:dyDescent="0.2">
      <c r="A5" s="18" t="s">
        <v>77</v>
      </c>
      <c r="B5" s="18" t="s">
        <v>26</v>
      </c>
      <c r="C5" s="18" t="s">
        <v>76</v>
      </c>
    </row>
    <row r="6" spans="1:3" x14ac:dyDescent="0.2">
      <c r="A6" s="18" t="s">
        <v>149</v>
      </c>
      <c r="B6" s="18" t="s">
        <v>150</v>
      </c>
      <c r="C6" s="18" t="s">
        <v>68</v>
      </c>
    </row>
    <row r="7" spans="1:3" x14ac:dyDescent="0.2">
      <c r="A7" s="18" t="s">
        <v>151</v>
      </c>
      <c r="B7" s="18" t="s">
        <v>152</v>
      </c>
      <c r="C7" s="18" t="s">
        <v>74</v>
      </c>
    </row>
    <row r="8" spans="1:3" x14ac:dyDescent="0.2">
      <c r="A8" s="18" t="s">
        <v>153</v>
      </c>
      <c r="B8" s="18" t="s">
        <v>154</v>
      </c>
      <c r="C8" s="18" t="s">
        <v>73</v>
      </c>
    </row>
    <row r="9" spans="1:3" x14ac:dyDescent="0.2">
      <c r="A9" s="18" t="s">
        <v>155</v>
      </c>
      <c r="B9" s="18" t="s">
        <v>156</v>
      </c>
      <c r="C9" s="18" t="s">
        <v>79</v>
      </c>
    </row>
    <row r="10" spans="1:3" x14ac:dyDescent="0.2">
      <c r="A10" s="18" t="s">
        <v>157</v>
      </c>
      <c r="B10" s="18" t="s">
        <v>158</v>
      </c>
      <c r="C10" s="18" t="s">
        <v>81</v>
      </c>
    </row>
    <row r="11" spans="1:3" x14ac:dyDescent="0.2">
      <c r="A11" s="18" t="s">
        <v>159</v>
      </c>
      <c r="B11" s="18" t="s">
        <v>160</v>
      </c>
      <c r="C11" s="18" t="s">
        <v>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0E64-D692-7B45-87AA-DBB5E7A3CD29}">
  <dimension ref="A1:F11"/>
  <sheetViews>
    <sheetView workbookViewId="0">
      <pane ySplit="1" topLeftCell="A2" activePane="bottomLeft" state="frozen"/>
      <selection pane="bottomLeft" activeCell="H9" sqref="H9"/>
    </sheetView>
  </sheetViews>
  <sheetFormatPr baseColWidth="10" defaultRowHeight="16" x14ac:dyDescent="0.2"/>
  <cols>
    <col min="1" max="1" width="11.5" customWidth="1"/>
    <col min="2" max="2" width="10.5" bestFit="1" customWidth="1"/>
    <col min="3" max="3" width="16" style="13" customWidth="1"/>
    <col min="4" max="4" width="10.83203125" style="4"/>
    <col min="5" max="5" width="11.6640625" bestFit="1" customWidth="1"/>
    <col min="6" max="6" width="14" customWidth="1"/>
  </cols>
  <sheetData>
    <row r="1" spans="1:6" s="2" customFormat="1" x14ac:dyDescent="0.2">
      <c r="A1" s="2" t="s">
        <v>17</v>
      </c>
      <c r="B1" s="2" t="s">
        <v>10</v>
      </c>
      <c r="C1" s="12" t="s">
        <v>18</v>
      </c>
      <c r="D1" s="10" t="s">
        <v>19</v>
      </c>
      <c r="E1" s="2" t="s">
        <v>5</v>
      </c>
      <c r="F1" s="2" t="s">
        <v>392</v>
      </c>
    </row>
    <row r="2" spans="1:6" x14ac:dyDescent="0.2">
      <c r="A2" s="18" t="s">
        <v>247</v>
      </c>
      <c r="B2" s="18" t="s">
        <v>390</v>
      </c>
      <c r="C2" s="18" t="s">
        <v>85</v>
      </c>
      <c r="D2" s="18" t="s">
        <v>161</v>
      </c>
      <c r="E2" s="22">
        <v>46055</v>
      </c>
      <c r="F2" s="18" t="s">
        <v>391</v>
      </c>
    </row>
    <row r="3" spans="1:6" x14ac:dyDescent="0.2">
      <c r="A3" s="18" t="s">
        <v>249</v>
      </c>
      <c r="B3" s="18" t="s">
        <v>121</v>
      </c>
      <c r="C3" s="18" t="s">
        <v>90</v>
      </c>
      <c r="D3" s="18" t="s">
        <v>164</v>
      </c>
      <c r="E3" s="22">
        <v>46083</v>
      </c>
      <c r="F3" s="18" t="s">
        <v>237</v>
      </c>
    </row>
    <row r="4" spans="1:6" x14ac:dyDescent="0.2">
      <c r="A4" s="18" t="s">
        <v>251</v>
      </c>
      <c r="B4" s="18" t="s">
        <v>124</v>
      </c>
      <c r="C4" s="18" t="s">
        <v>94</v>
      </c>
      <c r="D4" s="18" t="s">
        <v>167</v>
      </c>
      <c r="E4" s="22">
        <v>46114</v>
      </c>
      <c r="F4" s="18" t="s">
        <v>391</v>
      </c>
    </row>
    <row r="5" spans="1:6" x14ac:dyDescent="0.2">
      <c r="A5" s="18" t="s">
        <v>253</v>
      </c>
      <c r="B5" s="18" t="s">
        <v>127</v>
      </c>
      <c r="C5" s="18" t="s">
        <v>99</v>
      </c>
      <c r="D5" s="18" t="s">
        <v>170</v>
      </c>
      <c r="E5" s="22">
        <v>46144</v>
      </c>
      <c r="F5" s="18" t="s">
        <v>391</v>
      </c>
    </row>
    <row r="6" spans="1:6" x14ac:dyDescent="0.2">
      <c r="A6" s="18" t="s">
        <v>255</v>
      </c>
      <c r="B6" s="18" t="s">
        <v>130</v>
      </c>
      <c r="C6" s="18" t="s">
        <v>102</v>
      </c>
      <c r="D6" s="18" t="s">
        <v>173</v>
      </c>
      <c r="E6" s="22">
        <v>46175</v>
      </c>
      <c r="F6" s="18" t="s">
        <v>237</v>
      </c>
    </row>
    <row r="7" spans="1:6" x14ac:dyDescent="0.2">
      <c r="A7" s="18" t="s">
        <v>257</v>
      </c>
      <c r="B7" s="18" t="s">
        <v>133</v>
      </c>
      <c r="C7" s="18" t="s">
        <v>105</v>
      </c>
      <c r="D7" s="18" t="s">
        <v>176</v>
      </c>
      <c r="E7" s="22">
        <v>46205</v>
      </c>
      <c r="F7" s="18" t="s">
        <v>391</v>
      </c>
    </row>
    <row r="8" spans="1:6" x14ac:dyDescent="0.2">
      <c r="A8" s="18" t="s">
        <v>259</v>
      </c>
      <c r="B8" s="18" t="s">
        <v>136</v>
      </c>
      <c r="C8" s="18" t="s">
        <v>108</v>
      </c>
      <c r="D8" s="18" t="s">
        <v>179</v>
      </c>
      <c r="E8" s="22">
        <v>46236</v>
      </c>
      <c r="F8" s="18" t="s">
        <v>391</v>
      </c>
    </row>
    <row r="9" spans="1:6" x14ac:dyDescent="0.2">
      <c r="A9" s="18" t="s">
        <v>261</v>
      </c>
      <c r="B9" s="18" t="s">
        <v>139</v>
      </c>
      <c r="C9" s="18" t="s">
        <v>111</v>
      </c>
      <c r="D9" s="18" t="s">
        <v>182</v>
      </c>
      <c r="E9" s="22">
        <v>46267</v>
      </c>
      <c r="F9" s="18" t="s">
        <v>237</v>
      </c>
    </row>
    <row r="10" spans="1:6" x14ac:dyDescent="0.2">
      <c r="A10" s="18" t="s">
        <v>263</v>
      </c>
      <c r="B10" s="18" t="s">
        <v>142</v>
      </c>
      <c r="C10" s="18" t="s">
        <v>113</v>
      </c>
      <c r="D10" s="18" t="s">
        <v>185</v>
      </c>
      <c r="E10" s="22">
        <v>46297</v>
      </c>
      <c r="F10" s="18" t="s">
        <v>391</v>
      </c>
    </row>
    <row r="11" spans="1:6" x14ac:dyDescent="0.2">
      <c r="A11" s="18" t="s">
        <v>265</v>
      </c>
      <c r="B11" s="18" t="s">
        <v>145</v>
      </c>
      <c r="C11" s="18" t="s">
        <v>116</v>
      </c>
      <c r="D11" s="18" t="s">
        <v>188</v>
      </c>
      <c r="E11" s="22">
        <v>46328</v>
      </c>
      <c r="F11" s="18" t="s">
        <v>391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7952-ED9D-F648-B803-48F1A36B1EEE}">
  <dimension ref="A1:D100"/>
  <sheetViews>
    <sheetView workbookViewId="0">
      <pane ySplit="1" topLeftCell="A2" activePane="bottomLeft" state="frozen"/>
      <selection pane="bottomLeft" activeCell="G19" sqref="G19"/>
    </sheetView>
  </sheetViews>
  <sheetFormatPr baseColWidth="10" defaultRowHeight="16" x14ac:dyDescent="0.2"/>
  <cols>
    <col min="1" max="1" width="15" customWidth="1"/>
    <col min="2" max="2" width="13.5" customWidth="1"/>
    <col min="3" max="3" width="22.5" style="15" customWidth="1"/>
    <col min="4" max="4" width="18.1640625" style="4" bestFit="1" customWidth="1"/>
  </cols>
  <sheetData>
    <row r="1" spans="1:4" x14ac:dyDescent="0.2">
      <c r="A1" s="1" t="s">
        <v>20</v>
      </c>
      <c r="B1" s="1" t="s">
        <v>17</v>
      </c>
      <c r="C1" s="14" t="s">
        <v>21</v>
      </c>
      <c r="D1" s="11" t="s">
        <v>22</v>
      </c>
    </row>
    <row r="2" spans="1:4" x14ac:dyDescent="0.2">
      <c r="A2" s="18" t="s">
        <v>393</v>
      </c>
      <c r="B2" s="18" t="s">
        <v>247</v>
      </c>
      <c r="C2" s="22">
        <v>46055</v>
      </c>
      <c r="D2" s="18" t="s">
        <v>394</v>
      </c>
    </row>
    <row r="3" spans="1:4" x14ac:dyDescent="0.2">
      <c r="A3" s="18" t="s">
        <v>395</v>
      </c>
      <c r="B3" s="18" t="s">
        <v>249</v>
      </c>
      <c r="C3" s="22">
        <v>46083</v>
      </c>
      <c r="D3" s="18" t="s">
        <v>237</v>
      </c>
    </row>
    <row r="4" spans="1:4" x14ac:dyDescent="0.2">
      <c r="A4" s="18" t="s">
        <v>396</v>
      </c>
      <c r="B4" s="18" t="s">
        <v>251</v>
      </c>
      <c r="C4" s="22">
        <v>46114</v>
      </c>
      <c r="D4" s="18" t="s">
        <v>394</v>
      </c>
    </row>
    <row r="5" spans="1:4" x14ac:dyDescent="0.2">
      <c r="A5" s="18" t="s">
        <v>397</v>
      </c>
      <c r="B5" s="18" t="s">
        <v>253</v>
      </c>
      <c r="C5" s="22">
        <v>46144</v>
      </c>
      <c r="D5" s="18" t="s">
        <v>394</v>
      </c>
    </row>
    <row r="6" spans="1:4" x14ac:dyDescent="0.2">
      <c r="A6" s="18" t="s">
        <v>398</v>
      </c>
      <c r="B6" s="18" t="s">
        <v>255</v>
      </c>
      <c r="C6" s="22">
        <v>46175</v>
      </c>
      <c r="D6" s="18" t="s">
        <v>237</v>
      </c>
    </row>
    <row r="7" spans="1:4" x14ac:dyDescent="0.2">
      <c r="A7" s="18" t="s">
        <v>399</v>
      </c>
      <c r="B7" s="18" t="s">
        <v>257</v>
      </c>
      <c r="C7" s="22">
        <v>46205</v>
      </c>
      <c r="D7" s="18" t="s">
        <v>394</v>
      </c>
    </row>
    <row r="8" spans="1:4" x14ac:dyDescent="0.2">
      <c r="A8" s="18" t="s">
        <v>400</v>
      </c>
      <c r="B8" s="18" t="s">
        <v>259</v>
      </c>
      <c r="C8" s="22">
        <v>46236</v>
      </c>
      <c r="D8" s="18" t="s">
        <v>394</v>
      </c>
    </row>
    <row r="9" spans="1:4" x14ac:dyDescent="0.2">
      <c r="A9" s="18" t="s">
        <v>401</v>
      </c>
      <c r="B9" s="18" t="s">
        <v>261</v>
      </c>
      <c r="C9" s="22">
        <v>46267</v>
      </c>
      <c r="D9" s="18" t="s">
        <v>237</v>
      </c>
    </row>
    <row r="10" spans="1:4" x14ac:dyDescent="0.2">
      <c r="A10" s="18" t="s">
        <v>402</v>
      </c>
      <c r="B10" s="18" t="s">
        <v>263</v>
      </c>
      <c r="C10" s="22">
        <v>46297</v>
      </c>
      <c r="D10" s="18" t="s">
        <v>394</v>
      </c>
    </row>
    <row r="11" spans="1:4" x14ac:dyDescent="0.2">
      <c r="A11" s="18" t="s">
        <v>403</v>
      </c>
      <c r="B11" s="18" t="s">
        <v>265</v>
      </c>
      <c r="C11" s="22">
        <v>46328</v>
      </c>
      <c r="D11" s="18" t="s">
        <v>394</v>
      </c>
    </row>
    <row r="12" spans="1:4" x14ac:dyDescent="0.2">
      <c r="A12" s="1"/>
      <c r="B12" s="1"/>
      <c r="C12" s="14"/>
      <c r="D12" s="11"/>
    </row>
    <row r="13" spans="1:4" x14ac:dyDescent="0.2">
      <c r="A13" s="1"/>
      <c r="B13" s="1"/>
      <c r="C13" s="14"/>
      <c r="D13" s="11"/>
    </row>
    <row r="14" spans="1:4" x14ac:dyDescent="0.2">
      <c r="A14" s="1"/>
      <c r="B14" s="1"/>
      <c r="C14" s="14"/>
      <c r="D14" s="11"/>
    </row>
    <row r="15" spans="1:4" x14ac:dyDescent="0.2">
      <c r="A15" s="1"/>
      <c r="B15" s="1"/>
      <c r="C15" s="14"/>
      <c r="D15" s="11"/>
    </row>
    <row r="16" spans="1:4" x14ac:dyDescent="0.2">
      <c r="A16" s="1"/>
      <c r="B16" s="1"/>
      <c r="C16" s="14"/>
      <c r="D16" s="11"/>
    </row>
    <row r="17" spans="1:4" x14ac:dyDescent="0.2">
      <c r="A17" s="1"/>
      <c r="B17" s="1"/>
      <c r="C17" s="14"/>
      <c r="D17" s="11"/>
    </row>
    <row r="18" spans="1:4" x14ac:dyDescent="0.2">
      <c r="A18" s="1"/>
      <c r="B18" s="1"/>
      <c r="C18" s="14"/>
      <c r="D18" s="11"/>
    </row>
    <row r="19" spans="1:4" x14ac:dyDescent="0.2">
      <c r="A19" s="1"/>
      <c r="B19" s="1"/>
      <c r="C19" s="14"/>
      <c r="D19" s="11"/>
    </row>
    <row r="20" spans="1:4" x14ac:dyDescent="0.2">
      <c r="A20" s="1"/>
      <c r="B20" s="1"/>
      <c r="C20" s="14"/>
      <c r="D20" s="11"/>
    </row>
    <row r="21" spans="1:4" x14ac:dyDescent="0.2">
      <c r="A21" s="1"/>
      <c r="B21" s="1"/>
      <c r="C21" s="14"/>
      <c r="D21" s="11"/>
    </row>
    <row r="22" spans="1:4" x14ac:dyDescent="0.2">
      <c r="A22" s="1"/>
      <c r="B22" s="1"/>
      <c r="C22" s="14"/>
      <c r="D22" s="11"/>
    </row>
    <row r="23" spans="1:4" x14ac:dyDescent="0.2">
      <c r="A23" s="1"/>
      <c r="B23" s="1"/>
      <c r="C23" s="14"/>
      <c r="D23" s="11"/>
    </row>
    <row r="24" spans="1:4" x14ac:dyDescent="0.2">
      <c r="A24" s="1"/>
      <c r="B24" s="1"/>
      <c r="C24" s="14"/>
      <c r="D24" s="11"/>
    </row>
    <row r="25" spans="1:4" x14ac:dyDescent="0.2">
      <c r="A25" s="1"/>
      <c r="B25" s="1"/>
      <c r="C25" s="14"/>
      <c r="D25" s="11"/>
    </row>
    <row r="26" spans="1:4" x14ac:dyDescent="0.2">
      <c r="A26" s="1"/>
      <c r="B26" s="1"/>
      <c r="C26" s="14"/>
      <c r="D26" s="11"/>
    </row>
    <row r="27" spans="1:4" x14ac:dyDescent="0.2">
      <c r="A27" s="1"/>
      <c r="B27" s="1"/>
      <c r="C27" s="14"/>
      <c r="D27" s="11"/>
    </row>
    <row r="28" spans="1:4" x14ac:dyDescent="0.2">
      <c r="A28" s="1"/>
      <c r="B28" s="1"/>
      <c r="C28" s="14"/>
      <c r="D28" s="11"/>
    </row>
    <row r="29" spans="1:4" x14ac:dyDescent="0.2">
      <c r="A29" s="1"/>
      <c r="B29" s="1"/>
      <c r="C29" s="14"/>
      <c r="D29" s="11"/>
    </row>
    <row r="30" spans="1:4" x14ac:dyDescent="0.2">
      <c r="A30" s="1"/>
      <c r="B30" s="1"/>
      <c r="C30" s="14"/>
      <c r="D30" s="11"/>
    </row>
    <row r="31" spans="1:4" x14ac:dyDescent="0.2">
      <c r="A31" s="1"/>
      <c r="B31" s="1"/>
      <c r="C31" s="14"/>
      <c r="D31" s="11"/>
    </row>
    <row r="32" spans="1:4" x14ac:dyDescent="0.2">
      <c r="A32" s="1"/>
      <c r="B32" s="1"/>
      <c r="C32" s="14"/>
      <c r="D32" s="11"/>
    </row>
    <row r="33" spans="1:4" x14ac:dyDescent="0.2">
      <c r="A33" s="1"/>
      <c r="B33" s="1"/>
      <c r="C33" s="14"/>
      <c r="D33" s="11"/>
    </row>
    <row r="34" spans="1:4" x14ac:dyDescent="0.2">
      <c r="A34" s="1"/>
      <c r="B34" s="1"/>
      <c r="C34" s="14"/>
      <c r="D34" s="11"/>
    </row>
    <row r="35" spans="1:4" x14ac:dyDescent="0.2">
      <c r="A35" s="1"/>
      <c r="B35" s="1"/>
      <c r="C35" s="14"/>
      <c r="D35" s="11"/>
    </row>
    <row r="36" spans="1:4" x14ac:dyDescent="0.2">
      <c r="A36" s="1"/>
      <c r="B36" s="1"/>
      <c r="C36" s="14"/>
      <c r="D36" s="11"/>
    </row>
    <row r="37" spans="1:4" x14ac:dyDescent="0.2">
      <c r="A37" s="1"/>
      <c r="B37" s="1"/>
      <c r="C37" s="14"/>
      <c r="D37" s="11"/>
    </row>
    <row r="38" spans="1:4" x14ac:dyDescent="0.2">
      <c r="A38" s="1"/>
      <c r="B38" s="1"/>
      <c r="C38" s="14"/>
      <c r="D38" s="11"/>
    </row>
    <row r="39" spans="1:4" x14ac:dyDescent="0.2">
      <c r="A39" s="1"/>
      <c r="B39" s="1"/>
      <c r="C39" s="14"/>
      <c r="D39" s="11"/>
    </row>
    <row r="40" spans="1:4" x14ac:dyDescent="0.2">
      <c r="A40" s="1"/>
      <c r="B40" s="1"/>
      <c r="C40" s="14"/>
      <c r="D40" s="11"/>
    </row>
    <row r="41" spans="1:4" x14ac:dyDescent="0.2">
      <c r="A41" s="1"/>
      <c r="B41" s="1"/>
      <c r="C41" s="14"/>
      <c r="D41" s="11"/>
    </row>
    <row r="42" spans="1:4" x14ac:dyDescent="0.2">
      <c r="A42" s="1"/>
      <c r="B42" s="1"/>
      <c r="C42" s="14"/>
      <c r="D42" s="11"/>
    </row>
    <row r="43" spans="1:4" x14ac:dyDescent="0.2">
      <c r="A43" s="1"/>
      <c r="B43" s="1"/>
      <c r="C43" s="14"/>
      <c r="D43" s="11"/>
    </row>
    <row r="44" spans="1:4" x14ac:dyDescent="0.2">
      <c r="A44" s="1"/>
      <c r="B44" s="1"/>
      <c r="C44" s="14"/>
      <c r="D44" s="11"/>
    </row>
    <row r="45" spans="1:4" x14ac:dyDescent="0.2">
      <c r="A45" s="1"/>
      <c r="B45" s="1"/>
      <c r="C45" s="14"/>
      <c r="D45" s="11"/>
    </row>
    <row r="46" spans="1:4" x14ac:dyDescent="0.2">
      <c r="A46" s="1"/>
      <c r="B46" s="1"/>
      <c r="C46" s="14"/>
      <c r="D46" s="11"/>
    </row>
    <row r="47" spans="1:4" x14ac:dyDescent="0.2">
      <c r="A47" s="1"/>
      <c r="B47" s="1"/>
      <c r="C47" s="14"/>
      <c r="D47" s="11"/>
    </row>
    <row r="48" spans="1:4" x14ac:dyDescent="0.2">
      <c r="A48" s="1"/>
      <c r="B48" s="1"/>
      <c r="C48" s="14"/>
      <c r="D48" s="11"/>
    </row>
    <row r="49" spans="1:4" x14ac:dyDescent="0.2">
      <c r="A49" s="1"/>
      <c r="B49" s="1"/>
      <c r="C49" s="14"/>
      <c r="D49" s="11"/>
    </row>
    <row r="50" spans="1:4" x14ac:dyDescent="0.2">
      <c r="A50" s="1"/>
      <c r="B50" s="1"/>
      <c r="C50" s="14"/>
      <c r="D50" s="11"/>
    </row>
    <row r="51" spans="1:4" x14ac:dyDescent="0.2">
      <c r="A51" s="1"/>
      <c r="B51" s="1"/>
      <c r="C51" s="14"/>
      <c r="D51" s="11"/>
    </row>
    <row r="52" spans="1:4" x14ac:dyDescent="0.2">
      <c r="A52" s="1"/>
      <c r="B52" s="1"/>
      <c r="C52" s="14"/>
      <c r="D52" s="11"/>
    </row>
    <row r="53" spans="1:4" x14ac:dyDescent="0.2">
      <c r="A53" s="1"/>
      <c r="B53" s="1"/>
      <c r="C53" s="14"/>
      <c r="D53" s="11"/>
    </row>
    <row r="54" spans="1:4" x14ac:dyDescent="0.2">
      <c r="A54" s="1"/>
      <c r="B54" s="1"/>
      <c r="C54" s="14"/>
      <c r="D54" s="11"/>
    </row>
    <row r="55" spans="1:4" x14ac:dyDescent="0.2">
      <c r="A55" s="1"/>
      <c r="B55" s="1"/>
      <c r="C55" s="14"/>
      <c r="D55" s="11"/>
    </row>
    <row r="56" spans="1:4" x14ac:dyDescent="0.2">
      <c r="A56" s="1"/>
      <c r="B56" s="1"/>
      <c r="C56" s="14"/>
      <c r="D56" s="11"/>
    </row>
    <row r="57" spans="1:4" x14ac:dyDescent="0.2">
      <c r="A57" s="1"/>
      <c r="B57" s="1"/>
      <c r="C57" s="14"/>
      <c r="D57" s="11"/>
    </row>
    <row r="58" spans="1:4" x14ac:dyDescent="0.2">
      <c r="A58" s="1"/>
      <c r="B58" s="1"/>
      <c r="C58" s="14"/>
      <c r="D58" s="11"/>
    </row>
    <row r="59" spans="1:4" x14ac:dyDescent="0.2">
      <c r="A59" s="1"/>
      <c r="B59" s="1"/>
      <c r="C59" s="14"/>
      <c r="D59" s="11"/>
    </row>
    <row r="60" spans="1:4" x14ac:dyDescent="0.2">
      <c r="A60" s="1"/>
      <c r="B60" s="1"/>
      <c r="C60" s="14"/>
      <c r="D60" s="11"/>
    </row>
    <row r="61" spans="1:4" x14ac:dyDescent="0.2">
      <c r="A61" s="1"/>
      <c r="B61" s="1"/>
      <c r="C61" s="14"/>
      <c r="D61" s="11"/>
    </row>
    <row r="62" spans="1:4" x14ac:dyDescent="0.2">
      <c r="A62" s="1"/>
      <c r="B62" s="1"/>
      <c r="C62" s="14"/>
      <c r="D62" s="11"/>
    </row>
    <row r="63" spans="1:4" x14ac:dyDescent="0.2">
      <c r="A63" s="1"/>
      <c r="B63" s="1"/>
      <c r="C63" s="14"/>
      <c r="D63" s="11"/>
    </row>
    <row r="64" spans="1:4" x14ac:dyDescent="0.2">
      <c r="A64" s="1"/>
      <c r="B64" s="1"/>
      <c r="C64" s="14"/>
      <c r="D64" s="11"/>
    </row>
    <row r="65" spans="1:4" x14ac:dyDescent="0.2">
      <c r="A65" s="1"/>
      <c r="B65" s="1"/>
      <c r="C65" s="14"/>
      <c r="D65" s="11"/>
    </row>
    <row r="66" spans="1:4" x14ac:dyDescent="0.2">
      <c r="A66" s="1"/>
      <c r="B66" s="1"/>
      <c r="C66" s="14"/>
      <c r="D66" s="11"/>
    </row>
    <row r="67" spans="1:4" x14ac:dyDescent="0.2">
      <c r="A67" s="1"/>
      <c r="B67" s="1"/>
      <c r="C67" s="14"/>
      <c r="D67" s="11"/>
    </row>
    <row r="68" spans="1:4" x14ac:dyDescent="0.2">
      <c r="A68" s="1"/>
      <c r="B68" s="1"/>
      <c r="C68" s="14"/>
      <c r="D68" s="11"/>
    </row>
    <row r="69" spans="1:4" x14ac:dyDescent="0.2">
      <c r="A69" s="1"/>
      <c r="B69" s="1"/>
      <c r="C69" s="14"/>
      <c r="D69" s="11"/>
    </row>
    <row r="70" spans="1:4" x14ac:dyDescent="0.2">
      <c r="A70" s="1"/>
      <c r="B70" s="1"/>
      <c r="C70" s="14"/>
      <c r="D70" s="11"/>
    </row>
    <row r="71" spans="1:4" x14ac:dyDescent="0.2">
      <c r="A71" s="1"/>
      <c r="B71" s="1"/>
      <c r="C71" s="14"/>
      <c r="D71" s="11"/>
    </row>
    <row r="72" spans="1:4" x14ac:dyDescent="0.2">
      <c r="A72" s="1"/>
      <c r="B72" s="1"/>
      <c r="C72" s="14"/>
      <c r="D72" s="11"/>
    </row>
    <row r="73" spans="1:4" x14ac:dyDescent="0.2">
      <c r="A73" s="1"/>
      <c r="B73" s="1"/>
      <c r="C73" s="14"/>
      <c r="D73" s="11"/>
    </row>
    <row r="74" spans="1:4" x14ac:dyDescent="0.2">
      <c r="A74" s="1"/>
      <c r="B74" s="1"/>
      <c r="C74" s="14"/>
      <c r="D74" s="11"/>
    </row>
    <row r="75" spans="1:4" x14ac:dyDescent="0.2">
      <c r="A75" s="1"/>
      <c r="B75" s="1"/>
      <c r="C75" s="14"/>
      <c r="D75" s="11"/>
    </row>
    <row r="76" spans="1:4" x14ac:dyDescent="0.2">
      <c r="A76" s="1"/>
      <c r="B76" s="1"/>
      <c r="C76" s="14"/>
      <c r="D76" s="11"/>
    </row>
    <row r="77" spans="1:4" x14ac:dyDescent="0.2">
      <c r="A77" s="1"/>
      <c r="B77" s="1"/>
      <c r="C77" s="14"/>
      <c r="D77" s="11"/>
    </row>
    <row r="78" spans="1:4" x14ac:dyDescent="0.2">
      <c r="A78" s="1"/>
      <c r="B78" s="1"/>
      <c r="C78" s="14"/>
      <c r="D78" s="11"/>
    </row>
    <row r="79" spans="1:4" x14ac:dyDescent="0.2">
      <c r="A79" s="1"/>
      <c r="B79" s="1"/>
      <c r="C79" s="14"/>
      <c r="D79" s="11"/>
    </row>
    <row r="80" spans="1:4" x14ac:dyDescent="0.2">
      <c r="A80" s="1"/>
      <c r="B80" s="1"/>
      <c r="C80" s="14"/>
      <c r="D80" s="11"/>
    </row>
    <row r="81" spans="1:4" x14ac:dyDescent="0.2">
      <c r="A81" s="1"/>
      <c r="B81" s="1"/>
      <c r="C81" s="14"/>
      <c r="D81" s="11"/>
    </row>
    <row r="82" spans="1:4" x14ac:dyDescent="0.2">
      <c r="A82" s="1"/>
      <c r="B82" s="1"/>
      <c r="C82" s="14"/>
      <c r="D82" s="11"/>
    </row>
    <row r="83" spans="1:4" x14ac:dyDescent="0.2">
      <c r="A83" s="1"/>
      <c r="B83" s="1"/>
      <c r="C83" s="14"/>
      <c r="D83" s="11"/>
    </row>
    <row r="84" spans="1:4" x14ac:dyDescent="0.2">
      <c r="A84" s="1"/>
      <c r="B84" s="1"/>
      <c r="C84" s="14"/>
      <c r="D84" s="11"/>
    </row>
    <row r="85" spans="1:4" x14ac:dyDescent="0.2">
      <c r="A85" s="1"/>
      <c r="B85" s="1"/>
      <c r="C85" s="14"/>
      <c r="D85" s="11"/>
    </row>
    <row r="86" spans="1:4" x14ac:dyDescent="0.2">
      <c r="A86" s="1"/>
      <c r="B86" s="1"/>
      <c r="C86" s="14"/>
      <c r="D86" s="11"/>
    </row>
    <row r="87" spans="1:4" x14ac:dyDescent="0.2">
      <c r="A87" s="1"/>
      <c r="B87" s="1"/>
      <c r="C87" s="14"/>
      <c r="D87" s="11"/>
    </row>
    <row r="88" spans="1:4" x14ac:dyDescent="0.2">
      <c r="A88" s="1"/>
      <c r="B88" s="1"/>
      <c r="C88" s="14"/>
      <c r="D88" s="11"/>
    </row>
    <row r="89" spans="1:4" x14ac:dyDescent="0.2">
      <c r="A89" s="1"/>
      <c r="B89" s="1"/>
      <c r="C89" s="14"/>
      <c r="D89" s="11"/>
    </row>
    <row r="90" spans="1:4" x14ac:dyDescent="0.2">
      <c r="A90" s="1"/>
      <c r="B90" s="1"/>
      <c r="C90" s="14"/>
      <c r="D90" s="11"/>
    </row>
    <row r="91" spans="1:4" x14ac:dyDescent="0.2">
      <c r="A91" s="1"/>
      <c r="B91" s="1"/>
      <c r="C91" s="14"/>
      <c r="D91" s="11"/>
    </row>
    <row r="92" spans="1:4" x14ac:dyDescent="0.2">
      <c r="A92" s="1"/>
      <c r="B92" s="1"/>
      <c r="C92" s="14"/>
      <c r="D92" s="11"/>
    </row>
    <row r="93" spans="1:4" x14ac:dyDescent="0.2">
      <c r="A93" s="1"/>
      <c r="B93" s="1"/>
      <c r="C93" s="14"/>
      <c r="D93" s="11"/>
    </row>
    <row r="94" spans="1:4" x14ac:dyDescent="0.2">
      <c r="A94" s="1"/>
      <c r="B94" s="1"/>
      <c r="C94" s="14"/>
      <c r="D94" s="11"/>
    </row>
    <row r="95" spans="1:4" x14ac:dyDescent="0.2">
      <c r="A95" s="1"/>
      <c r="B95" s="1"/>
      <c r="C95" s="14"/>
      <c r="D95" s="11"/>
    </row>
    <row r="96" spans="1:4" x14ac:dyDescent="0.2">
      <c r="A96" s="1"/>
      <c r="B96" s="1"/>
      <c r="C96" s="14"/>
      <c r="D96" s="11"/>
    </row>
    <row r="97" spans="1:4" x14ac:dyDescent="0.2">
      <c r="A97" s="1"/>
      <c r="B97" s="1"/>
      <c r="C97" s="14"/>
      <c r="D97" s="11"/>
    </row>
    <row r="98" spans="1:4" x14ac:dyDescent="0.2">
      <c r="A98" s="1"/>
      <c r="B98" s="1"/>
      <c r="C98" s="14"/>
      <c r="D98" s="11"/>
    </row>
    <row r="99" spans="1:4" x14ac:dyDescent="0.2">
      <c r="A99" s="1"/>
      <c r="B99" s="1"/>
      <c r="C99" s="14"/>
      <c r="D99" s="11"/>
    </row>
    <row r="100" spans="1:4" x14ac:dyDescent="0.2">
      <c r="A100" s="1"/>
      <c r="B100" s="1"/>
      <c r="C100" s="14"/>
      <c r="D100" s="1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A49E-EDA9-4F40-8617-C95B6F2C8777}">
  <dimension ref="A1:E11"/>
  <sheetViews>
    <sheetView zoomScale="158" workbookViewId="0">
      <pane ySplit="1" topLeftCell="A2" activePane="bottomLeft" state="frozen"/>
      <selection pane="bottomLeft" activeCell="G14" sqref="G14"/>
    </sheetView>
  </sheetViews>
  <sheetFormatPr baseColWidth="10" defaultRowHeight="16" x14ac:dyDescent="0.2"/>
  <cols>
    <col min="2" max="2" width="11.5" customWidth="1"/>
    <col min="3" max="3" width="10.83203125" style="13"/>
    <col min="4" max="4" width="18.5" bestFit="1" customWidth="1"/>
    <col min="5" max="5" width="13.5" style="4" bestFit="1" customWidth="1"/>
  </cols>
  <sheetData>
    <row r="1" spans="1:5" x14ac:dyDescent="0.2">
      <c r="A1" t="s">
        <v>23</v>
      </c>
      <c r="B1" t="s">
        <v>5</v>
      </c>
      <c r="C1" s="13" t="s">
        <v>24</v>
      </c>
      <c r="D1" t="s">
        <v>25</v>
      </c>
      <c r="E1" s="4" t="s">
        <v>424</v>
      </c>
    </row>
    <row r="2" spans="1:5" x14ac:dyDescent="0.2">
      <c r="A2" s="18" t="s">
        <v>404</v>
      </c>
      <c r="B2" s="18" t="s">
        <v>85</v>
      </c>
      <c r="C2" s="22">
        <v>46055</v>
      </c>
      <c r="D2" s="18">
        <v>250</v>
      </c>
      <c r="E2" s="18" t="s">
        <v>405</v>
      </c>
    </row>
    <row r="3" spans="1:5" x14ac:dyDescent="0.2">
      <c r="A3" s="18" t="s">
        <v>406</v>
      </c>
      <c r="B3" s="18" t="s">
        <v>90</v>
      </c>
      <c r="C3" s="22">
        <v>46083</v>
      </c>
      <c r="D3" s="18">
        <v>120</v>
      </c>
      <c r="E3" s="18" t="s">
        <v>407</v>
      </c>
    </row>
    <row r="4" spans="1:5" x14ac:dyDescent="0.2">
      <c r="A4" s="18" t="s">
        <v>408</v>
      </c>
      <c r="B4" s="18" t="s">
        <v>94</v>
      </c>
      <c r="C4" s="22">
        <v>46114</v>
      </c>
      <c r="D4" s="18">
        <v>300</v>
      </c>
      <c r="E4" s="18" t="s">
        <v>409</v>
      </c>
    </row>
    <row r="5" spans="1:5" x14ac:dyDescent="0.2">
      <c r="A5" s="18" t="s">
        <v>410</v>
      </c>
      <c r="B5" s="18" t="s">
        <v>99</v>
      </c>
      <c r="C5" s="22">
        <v>46144</v>
      </c>
      <c r="D5" s="18">
        <v>180</v>
      </c>
      <c r="E5" s="18" t="s">
        <v>411</v>
      </c>
    </row>
    <row r="6" spans="1:5" x14ac:dyDescent="0.2">
      <c r="A6" s="18" t="s">
        <v>412</v>
      </c>
      <c r="B6" s="18" t="s">
        <v>102</v>
      </c>
      <c r="C6" s="22">
        <v>46175</v>
      </c>
      <c r="D6" s="18">
        <v>150</v>
      </c>
      <c r="E6" s="18" t="s">
        <v>413</v>
      </c>
    </row>
    <row r="7" spans="1:5" x14ac:dyDescent="0.2">
      <c r="A7" s="18" t="s">
        <v>414</v>
      </c>
      <c r="B7" s="18" t="s">
        <v>105</v>
      </c>
      <c r="C7" s="22">
        <v>46205</v>
      </c>
      <c r="D7" s="18">
        <v>400</v>
      </c>
      <c r="E7" s="18" t="s">
        <v>415</v>
      </c>
    </row>
    <row r="8" spans="1:5" x14ac:dyDescent="0.2">
      <c r="A8" s="18" t="s">
        <v>416</v>
      </c>
      <c r="B8" s="18" t="s">
        <v>108</v>
      </c>
      <c r="C8" s="22">
        <v>46236</v>
      </c>
      <c r="D8" s="18">
        <v>220</v>
      </c>
      <c r="E8" s="18" t="s">
        <v>417</v>
      </c>
    </row>
    <row r="9" spans="1:5" x14ac:dyDescent="0.2">
      <c r="A9" s="18" t="s">
        <v>418</v>
      </c>
      <c r="B9" s="18" t="s">
        <v>111</v>
      </c>
      <c r="C9" s="22">
        <v>46267</v>
      </c>
      <c r="D9" s="18">
        <v>100</v>
      </c>
      <c r="E9" s="18" t="s">
        <v>419</v>
      </c>
    </row>
    <row r="10" spans="1:5" x14ac:dyDescent="0.2">
      <c r="A10" s="18" t="s">
        <v>420</v>
      </c>
      <c r="B10" s="18" t="s">
        <v>113</v>
      </c>
      <c r="C10" s="22">
        <v>46297</v>
      </c>
      <c r="D10" s="18">
        <v>280</v>
      </c>
      <c r="E10" s="18" t="s">
        <v>421</v>
      </c>
    </row>
    <row r="11" spans="1:5" x14ac:dyDescent="0.2">
      <c r="A11" s="18" t="s">
        <v>422</v>
      </c>
      <c r="B11" s="18" t="s">
        <v>116</v>
      </c>
      <c r="C11" s="22">
        <v>46328</v>
      </c>
      <c r="D11" s="18">
        <v>200</v>
      </c>
      <c r="E11" s="18" t="s">
        <v>423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B36C-C37D-EB45-9EDC-843BE4EFF870}">
  <dimension ref="A1:E11"/>
  <sheetViews>
    <sheetView workbookViewId="0">
      <pane ySplit="1" topLeftCell="A2" activePane="bottomLeft" state="frozen"/>
      <selection pane="bottomLeft" activeCell="E1" sqref="E1"/>
    </sheetView>
  </sheetViews>
  <sheetFormatPr baseColWidth="10" defaultRowHeight="16" x14ac:dyDescent="0.2"/>
  <cols>
    <col min="1" max="1" width="14.1640625" customWidth="1"/>
    <col min="2" max="2" width="11.5" customWidth="1"/>
    <col min="3" max="3" width="10.83203125" style="13"/>
    <col min="4" max="4" width="10.83203125" style="4"/>
    <col min="5" max="5" width="24" style="16" customWidth="1"/>
  </cols>
  <sheetData>
    <row r="1" spans="1:5" x14ac:dyDescent="0.2">
      <c r="A1" t="s">
        <v>26</v>
      </c>
      <c r="B1" t="s">
        <v>5</v>
      </c>
      <c r="C1" s="13" t="s">
        <v>24</v>
      </c>
      <c r="D1" s="4" t="s">
        <v>27</v>
      </c>
      <c r="E1" s="16" t="s">
        <v>6</v>
      </c>
    </row>
    <row r="2" spans="1:5" x14ac:dyDescent="0.2">
      <c r="A2" s="18" t="s">
        <v>191</v>
      </c>
      <c r="B2" s="18" t="s">
        <v>85</v>
      </c>
      <c r="C2" s="22">
        <v>46024</v>
      </c>
      <c r="D2" s="18">
        <v>8000</v>
      </c>
      <c r="E2" s="18" t="s">
        <v>192</v>
      </c>
    </row>
    <row r="3" spans="1:5" x14ac:dyDescent="0.2">
      <c r="A3" s="18" t="s">
        <v>193</v>
      </c>
      <c r="B3" s="18" t="s">
        <v>94</v>
      </c>
      <c r="C3" s="22">
        <v>46055</v>
      </c>
      <c r="D3" s="18">
        <v>15000</v>
      </c>
      <c r="E3" s="18" t="s">
        <v>194</v>
      </c>
    </row>
    <row r="4" spans="1:5" x14ac:dyDescent="0.2">
      <c r="A4" s="18" t="s">
        <v>195</v>
      </c>
      <c r="B4" s="18" t="s">
        <v>102</v>
      </c>
      <c r="C4" s="22">
        <v>46083</v>
      </c>
      <c r="D4" s="18">
        <v>5000</v>
      </c>
      <c r="E4" s="18" t="s">
        <v>196</v>
      </c>
    </row>
    <row r="5" spans="1:5" x14ac:dyDescent="0.2">
      <c r="A5" s="18" t="s">
        <v>197</v>
      </c>
      <c r="B5" s="18" t="s">
        <v>108</v>
      </c>
      <c r="C5" s="22">
        <v>46114</v>
      </c>
      <c r="D5" s="18">
        <v>12000</v>
      </c>
      <c r="E5" s="18" t="s">
        <v>198</v>
      </c>
    </row>
    <row r="6" spans="1:5" x14ac:dyDescent="0.2">
      <c r="A6" s="18" t="s">
        <v>199</v>
      </c>
      <c r="B6" s="18" t="s">
        <v>113</v>
      </c>
      <c r="C6" s="22">
        <v>46144</v>
      </c>
      <c r="D6" s="18">
        <v>7000</v>
      </c>
      <c r="E6" s="18" t="s">
        <v>200</v>
      </c>
    </row>
    <row r="7" spans="1:5" x14ac:dyDescent="0.2">
      <c r="A7" s="18" t="s">
        <v>201</v>
      </c>
      <c r="B7" s="18" t="s">
        <v>90</v>
      </c>
      <c r="C7" s="22">
        <v>46175</v>
      </c>
      <c r="D7" s="18">
        <v>6000</v>
      </c>
      <c r="E7" s="18" t="s">
        <v>202</v>
      </c>
    </row>
    <row r="8" spans="1:5" x14ac:dyDescent="0.2">
      <c r="A8" s="18" t="s">
        <v>203</v>
      </c>
      <c r="B8" s="18" t="s">
        <v>99</v>
      </c>
      <c r="C8" s="22">
        <v>46205</v>
      </c>
      <c r="D8" s="18">
        <v>9000</v>
      </c>
      <c r="E8" s="18" t="s">
        <v>204</v>
      </c>
    </row>
    <row r="9" spans="1:5" x14ac:dyDescent="0.2">
      <c r="A9" s="18" t="s">
        <v>205</v>
      </c>
      <c r="B9" s="18" t="s">
        <v>105</v>
      </c>
      <c r="C9" s="22">
        <v>46236</v>
      </c>
      <c r="D9" s="18">
        <v>11000</v>
      </c>
      <c r="E9" s="18" t="s">
        <v>206</v>
      </c>
    </row>
    <row r="10" spans="1:5" x14ac:dyDescent="0.2">
      <c r="A10" s="18" t="s">
        <v>207</v>
      </c>
      <c r="B10" s="18" t="s">
        <v>111</v>
      </c>
      <c r="C10" s="22">
        <v>46267</v>
      </c>
      <c r="D10" s="18">
        <v>4000</v>
      </c>
      <c r="E10" s="18" t="s">
        <v>208</v>
      </c>
    </row>
    <row r="11" spans="1:5" x14ac:dyDescent="0.2">
      <c r="A11" s="18" t="s">
        <v>209</v>
      </c>
      <c r="B11" s="18" t="s">
        <v>116</v>
      </c>
      <c r="C11" s="22">
        <v>46297</v>
      </c>
      <c r="D11" s="18">
        <v>10000</v>
      </c>
      <c r="E11" s="18" t="s">
        <v>210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BF7C-C280-EA46-BA05-C68B24ED8B79}">
  <dimension ref="A1:E11"/>
  <sheetViews>
    <sheetView workbookViewId="0">
      <pane ySplit="1" topLeftCell="A2" activePane="bottomLeft" state="frozen"/>
      <selection pane="bottomLeft" activeCell="G18" sqref="G18"/>
    </sheetView>
  </sheetViews>
  <sheetFormatPr baseColWidth="10" defaultRowHeight="16" x14ac:dyDescent="0.2"/>
  <cols>
    <col min="2" max="2" width="11.5" customWidth="1"/>
    <col min="3" max="3" width="10.83203125" style="13"/>
    <col min="4" max="4" width="11.83203125" customWidth="1"/>
  </cols>
  <sheetData>
    <row r="1" spans="1:5" x14ac:dyDescent="0.2">
      <c r="A1" t="s">
        <v>28</v>
      </c>
      <c r="B1" t="s">
        <v>5</v>
      </c>
      <c r="C1" s="13" t="s">
        <v>24</v>
      </c>
      <c r="D1" t="s">
        <v>29</v>
      </c>
      <c r="E1" t="s">
        <v>27</v>
      </c>
    </row>
    <row r="2" spans="1:5" x14ac:dyDescent="0.2">
      <c r="A2" s="18" t="s">
        <v>211</v>
      </c>
      <c r="B2" s="18" t="s">
        <v>85</v>
      </c>
      <c r="C2" s="22">
        <v>46055</v>
      </c>
      <c r="D2" s="18">
        <v>80</v>
      </c>
      <c r="E2" s="18">
        <v>12000</v>
      </c>
    </row>
    <row r="3" spans="1:5" x14ac:dyDescent="0.2">
      <c r="A3" s="18" t="s">
        <v>212</v>
      </c>
      <c r="B3" s="18" t="s">
        <v>90</v>
      </c>
      <c r="C3" s="22">
        <v>46083</v>
      </c>
      <c r="D3" s="18">
        <v>40</v>
      </c>
      <c r="E3" s="18">
        <v>6000</v>
      </c>
    </row>
    <row r="4" spans="1:5" x14ac:dyDescent="0.2">
      <c r="A4" s="18" t="s">
        <v>213</v>
      </c>
      <c r="B4" s="18" t="s">
        <v>94</v>
      </c>
      <c r="C4" s="22">
        <v>46114</v>
      </c>
      <c r="D4" s="18">
        <v>100</v>
      </c>
      <c r="E4" s="18">
        <v>15000</v>
      </c>
    </row>
    <row r="5" spans="1:5" x14ac:dyDescent="0.2">
      <c r="A5" s="18" t="s">
        <v>214</v>
      </c>
      <c r="B5" s="18" t="s">
        <v>99</v>
      </c>
      <c r="C5" s="22">
        <v>46144</v>
      </c>
      <c r="D5" s="18">
        <v>60</v>
      </c>
      <c r="E5" s="18">
        <v>9000</v>
      </c>
    </row>
    <row r="6" spans="1:5" x14ac:dyDescent="0.2">
      <c r="A6" s="18" t="s">
        <v>215</v>
      </c>
      <c r="B6" s="18" t="s">
        <v>102</v>
      </c>
      <c r="C6" s="22">
        <v>46175</v>
      </c>
      <c r="D6" s="18">
        <v>50</v>
      </c>
      <c r="E6" s="18">
        <v>7500</v>
      </c>
    </row>
    <row r="7" spans="1:5" x14ac:dyDescent="0.2">
      <c r="A7" s="18" t="s">
        <v>216</v>
      </c>
      <c r="B7" s="18" t="s">
        <v>105</v>
      </c>
      <c r="C7" s="22">
        <v>46205</v>
      </c>
      <c r="D7" s="18">
        <v>130</v>
      </c>
      <c r="E7" s="18">
        <v>19500</v>
      </c>
    </row>
    <row r="8" spans="1:5" x14ac:dyDescent="0.2">
      <c r="A8" s="18" t="s">
        <v>217</v>
      </c>
      <c r="B8" s="18" t="s">
        <v>108</v>
      </c>
      <c r="C8" s="22">
        <v>46236</v>
      </c>
      <c r="D8" s="18">
        <v>70</v>
      </c>
      <c r="E8" s="18">
        <v>10500</v>
      </c>
    </row>
    <row r="9" spans="1:5" x14ac:dyDescent="0.2">
      <c r="A9" s="18" t="s">
        <v>218</v>
      </c>
      <c r="B9" s="18" t="s">
        <v>111</v>
      </c>
      <c r="C9" s="22">
        <v>46267</v>
      </c>
      <c r="D9" s="18">
        <v>35</v>
      </c>
      <c r="E9" s="18">
        <v>5250</v>
      </c>
    </row>
    <row r="10" spans="1:5" x14ac:dyDescent="0.2">
      <c r="A10" s="18" t="s">
        <v>219</v>
      </c>
      <c r="B10" s="18" t="s">
        <v>113</v>
      </c>
      <c r="C10" s="22">
        <v>46297</v>
      </c>
      <c r="D10" s="18">
        <v>90</v>
      </c>
      <c r="E10" s="18">
        <v>13500</v>
      </c>
    </row>
    <row r="11" spans="1:5" x14ac:dyDescent="0.2">
      <c r="A11" s="18" t="s">
        <v>220</v>
      </c>
      <c r="B11" s="18" t="s">
        <v>116</v>
      </c>
      <c r="C11" s="22">
        <v>46328</v>
      </c>
      <c r="D11" s="18">
        <v>65</v>
      </c>
      <c r="E11" s="18">
        <v>9750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8259-75B1-724B-B3E4-EE267B886CBF}">
  <dimension ref="A1:D11"/>
  <sheetViews>
    <sheetView workbookViewId="0">
      <pane ySplit="1" topLeftCell="A2" activePane="bottomLeft" state="frozen"/>
      <selection pane="bottomLeft" activeCell="E13" sqref="E13"/>
    </sheetView>
  </sheetViews>
  <sheetFormatPr baseColWidth="10" defaultRowHeight="16" x14ac:dyDescent="0.2"/>
  <cols>
    <col min="2" max="2" width="26.33203125" style="4" customWidth="1"/>
    <col min="3" max="3" width="12.5" style="4" bestFit="1" customWidth="1"/>
    <col min="4" max="4" width="13.5" style="4" bestFit="1" customWidth="1"/>
  </cols>
  <sheetData>
    <row r="1" spans="1:4" x14ac:dyDescent="0.2">
      <c r="A1" t="s">
        <v>19</v>
      </c>
      <c r="B1" s="4" t="s">
        <v>1</v>
      </c>
      <c r="C1" s="4" t="s">
        <v>30</v>
      </c>
      <c r="D1" s="4" t="s">
        <v>11</v>
      </c>
    </row>
    <row r="2" spans="1:4" x14ac:dyDescent="0.2">
      <c r="A2" s="18" t="s">
        <v>161</v>
      </c>
      <c r="B2" s="18" t="s">
        <v>162</v>
      </c>
      <c r="C2" s="18">
        <f>92-300-2223344</f>
        <v>-2223552</v>
      </c>
      <c r="D2" s="18" t="s">
        <v>163</v>
      </c>
    </row>
    <row r="3" spans="1:4" x14ac:dyDescent="0.2">
      <c r="A3" s="18" t="s">
        <v>164</v>
      </c>
      <c r="B3" s="18" t="s">
        <v>165</v>
      </c>
      <c r="C3" s="18">
        <f>92-333-5556677</f>
        <v>-5556918</v>
      </c>
      <c r="D3" s="18" t="s">
        <v>166</v>
      </c>
    </row>
    <row r="4" spans="1:4" x14ac:dyDescent="0.2">
      <c r="A4" s="18" t="s">
        <v>167</v>
      </c>
      <c r="B4" s="18" t="s">
        <v>168</v>
      </c>
      <c r="C4" s="18">
        <f>92-321-1112233</f>
        <v>-1112462</v>
      </c>
      <c r="D4" s="18" t="s">
        <v>169</v>
      </c>
    </row>
    <row r="5" spans="1:4" x14ac:dyDescent="0.2">
      <c r="A5" s="18" t="s">
        <v>170</v>
      </c>
      <c r="B5" s="18" t="s">
        <v>171</v>
      </c>
      <c r="C5" s="18">
        <f>92-345-4445566</f>
        <v>-4445819</v>
      </c>
      <c r="D5" s="18" t="s">
        <v>172</v>
      </c>
    </row>
    <row r="6" spans="1:4" x14ac:dyDescent="0.2">
      <c r="A6" s="18" t="s">
        <v>173</v>
      </c>
      <c r="B6" s="18" t="s">
        <v>174</v>
      </c>
      <c r="C6" s="18">
        <f>92-300-7778899</f>
        <v>-7779107</v>
      </c>
      <c r="D6" s="18" t="s">
        <v>175</v>
      </c>
    </row>
    <row r="7" spans="1:4" x14ac:dyDescent="0.2">
      <c r="A7" s="18" t="s">
        <v>176</v>
      </c>
      <c r="B7" s="18" t="s">
        <v>177</v>
      </c>
      <c r="C7" s="18">
        <f>92-333-2223344</f>
        <v>-2223585</v>
      </c>
      <c r="D7" s="18" t="s">
        <v>178</v>
      </c>
    </row>
    <row r="8" spans="1:4" x14ac:dyDescent="0.2">
      <c r="A8" s="18" t="s">
        <v>179</v>
      </c>
      <c r="B8" s="18" t="s">
        <v>180</v>
      </c>
      <c r="C8" s="18">
        <f>92-321-5556677</f>
        <v>-5556906</v>
      </c>
      <c r="D8" s="18" t="s">
        <v>181</v>
      </c>
    </row>
    <row r="9" spans="1:4" x14ac:dyDescent="0.2">
      <c r="A9" s="18" t="s">
        <v>182</v>
      </c>
      <c r="B9" s="18" t="s">
        <v>183</v>
      </c>
      <c r="C9" s="18">
        <f>92-345-8889900</f>
        <v>-8890153</v>
      </c>
      <c r="D9" s="18" t="s">
        <v>184</v>
      </c>
    </row>
    <row r="10" spans="1:4" x14ac:dyDescent="0.2">
      <c r="A10" s="18" t="s">
        <v>185</v>
      </c>
      <c r="B10" s="18" t="s">
        <v>186</v>
      </c>
      <c r="C10" s="18">
        <f>92-300-9991122</f>
        <v>-9991330</v>
      </c>
      <c r="D10" s="18" t="s">
        <v>187</v>
      </c>
    </row>
    <row r="11" spans="1:4" x14ac:dyDescent="0.2">
      <c r="A11" s="18" t="s">
        <v>188</v>
      </c>
      <c r="B11" s="18" t="s">
        <v>189</v>
      </c>
      <c r="C11" s="18">
        <f>92-333-1112233</f>
        <v>-1112474</v>
      </c>
      <c r="D11" s="18" t="s">
        <v>190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B678-C2A7-524E-809C-1D7797C1F56A}">
  <dimension ref="A1:D11"/>
  <sheetViews>
    <sheetView workbookViewId="0">
      <pane ySplit="1" topLeftCell="A2" activePane="bottomLeft" state="frozen"/>
      <selection pane="bottomLeft" activeCell="G16" sqref="G16"/>
    </sheetView>
  </sheetViews>
  <sheetFormatPr baseColWidth="10" defaultRowHeight="16" x14ac:dyDescent="0.2"/>
  <cols>
    <col min="1" max="1" width="14.83203125" customWidth="1"/>
    <col min="2" max="2" width="12.5" customWidth="1"/>
    <col min="3" max="3" width="10.83203125" style="13"/>
    <col min="4" max="4" width="10.83203125" style="4"/>
  </cols>
  <sheetData>
    <row r="1" spans="1:4" x14ac:dyDescent="0.2">
      <c r="A1" t="s">
        <v>31</v>
      </c>
      <c r="B1" t="s">
        <v>32</v>
      </c>
      <c r="C1" s="13" t="s">
        <v>24</v>
      </c>
      <c r="D1" s="4" t="s">
        <v>9</v>
      </c>
    </row>
    <row r="2" spans="1:4" x14ac:dyDescent="0.2">
      <c r="A2" s="18" t="s">
        <v>221</v>
      </c>
      <c r="B2" s="18">
        <v>101</v>
      </c>
      <c r="C2" s="22">
        <v>46055</v>
      </c>
      <c r="D2" s="18" t="s">
        <v>222</v>
      </c>
    </row>
    <row r="3" spans="1:4" x14ac:dyDescent="0.2">
      <c r="A3" s="18" t="s">
        <v>223</v>
      </c>
      <c r="B3" s="18">
        <v>102</v>
      </c>
      <c r="C3" s="22">
        <v>46055</v>
      </c>
      <c r="D3" s="18" t="s">
        <v>224</v>
      </c>
    </row>
    <row r="4" spans="1:4" x14ac:dyDescent="0.2">
      <c r="A4" s="18" t="s">
        <v>225</v>
      </c>
      <c r="B4" s="18">
        <v>103</v>
      </c>
      <c r="C4" s="22">
        <v>46055</v>
      </c>
      <c r="D4" s="18" t="s">
        <v>222</v>
      </c>
    </row>
    <row r="5" spans="1:4" x14ac:dyDescent="0.2">
      <c r="A5" s="18" t="s">
        <v>226</v>
      </c>
      <c r="B5" s="18">
        <v>104</v>
      </c>
      <c r="C5" s="22">
        <v>46055</v>
      </c>
      <c r="D5" s="18" t="s">
        <v>222</v>
      </c>
    </row>
    <row r="6" spans="1:4" x14ac:dyDescent="0.2">
      <c r="A6" s="18" t="s">
        <v>227</v>
      </c>
      <c r="B6" s="18">
        <v>105</v>
      </c>
      <c r="C6" s="22">
        <v>46055</v>
      </c>
      <c r="D6" s="18" t="s">
        <v>224</v>
      </c>
    </row>
    <row r="7" spans="1:4" x14ac:dyDescent="0.2">
      <c r="A7" s="18" t="s">
        <v>228</v>
      </c>
      <c r="B7" s="18">
        <v>106</v>
      </c>
      <c r="C7" s="22">
        <v>46055</v>
      </c>
      <c r="D7" s="18" t="s">
        <v>222</v>
      </c>
    </row>
    <row r="8" spans="1:4" x14ac:dyDescent="0.2">
      <c r="A8" s="18" t="s">
        <v>229</v>
      </c>
      <c r="B8" s="18">
        <v>107</v>
      </c>
      <c r="C8" s="22">
        <v>46055</v>
      </c>
      <c r="D8" s="18" t="s">
        <v>222</v>
      </c>
    </row>
    <row r="9" spans="1:4" x14ac:dyDescent="0.2">
      <c r="A9" s="18" t="s">
        <v>230</v>
      </c>
      <c r="B9" s="18">
        <v>108</v>
      </c>
      <c r="C9" s="22">
        <v>46055</v>
      </c>
      <c r="D9" s="18" t="s">
        <v>224</v>
      </c>
    </row>
    <row r="10" spans="1:4" x14ac:dyDescent="0.2">
      <c r="A10" s="18" t="s">
        <v>231</v>
      </c>
      <c r="B10" s="18">
        <v>109</v>
      </c>
      <c r="C10" s="22">
        <v>46055</v>
      </c>
      <c r="D10" s="18" t="s">
        <v>222</v>
      </c>
    </row>
    <row r="11" spans="1:4" x14ac:dyDescent="0.2">
      <c r="A11" s="18" t="s">
        <v>232</v>
      </c>
      <c r="B11" s="18">
        <v>110</v>
      </c>
      <c r="C11" s="22">
        <v>46055</v>
      </c>
      <c r="D11" s="18" t="s">
        <v>222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C1309-A50C-034C-8B95-CFBFAA01CD37}">
  <dimension ref="A1:E11"/>
  <sheetViews>
    <sheetView workbookViewId="0">
      <selection activeCell="H18" sqref="H18"/>
    </sheetView>
  </sheetViews>
  <sheetFormatPr baseColWidth="10" defaultRowHeight="16" x14ac:dyDescent="0.2"/>
  <cols>
    <col min="2" max="2" width="13.33203125" customWidth="1"/>
    <col min="5" max="5" width="10.83203125" style="4"/>
  </cols>
  <sheetData>
    <row r="1" spans="1:5" x14ac:dyDescent="0.2">
      <c r="A1" t="s">
        <v>33</v>
      </c>
      <c r="B1" t="s">
        <v>34</v>
      </c>
      <c r="C1" t="s">
        <v>35</v>
      </c>
      <c r="D1" t="s">
        <v>36</v>
      </c>
      <c r="E1" s="4" t="s">
        <v>9</v>
      </c>
    </row>
    <row r="2" spans="1:5" x14ac:dyDescent="0.2">
      <c r="A2" s="18" t="s">
        <v>233</v>
      </c>
      <c r="B2" s="18">
        <v>101</v>
      </c>
      <c r="C2" s="18" t="s">
        <v>234</v>
      </c>
      <c r="D2" s="18">
        <v>50000</v>
      </c>
      <c r="E2" s="18" t="s">
        <v>235</v>
      </c>
    </row>
    <row r="3" spans="1:5" x14ac:dyDescent="0.2">
      <c r="A3" s="18" t="s">
        <v>236</v>
      </c>
      <c r="B3" s="18">
        <v>102</v>
      </c>
      <c r="C3" s="18" t="s">
        <v>234</v>
      </c>
      <c r="D3" s="18">
        <v>60000</v>
      </c>
      <c r="E3" s="18" t="s">
        <v>237</v>
      </c>
    </row>
    <row r="4" spans="1:5" x14ac:dyDescent="0.2">
      <c r="A4" s="18" t="s">
        <v>238</v>
      </c>
      <c r="B4" s="18">
        <v>103</v>
      </c>
      <c r="C4" s="18" t="s">
        <v>234</v>
      </c>
      <c r="D4" s="18">
        <v>45000</v>
      </c>
      <c r="E4" s="18" t="s">
        <v>235</v>
      </c>
    </row>
    <row r="5" spans="1:5" x14ac:dyDescent="0.2">
      <c r="A5" s="18" t="s">
        <v>239</v>
      </c>
      <c r="B5" s="18">
        <v>104</v>
      </c>
      <c r="C5" s="18" t="s">
        <v>234</v>
      </c>
      <c r="D5" s="18">
        <v>55000</v>
      </c>
      <c r="E5" s="18" t="s">
        <v>235</v>
      </c>
    </row>
    <row r="6" spans="1:5" x14ac:dyDescent="0.2">
      <c r="A6" s="18" t="s">
        <v>240</v>
      </c>
      <c r="B6" s="18">
        <v>105</v>
      </c>
      <c r="C6" s="18" t="s">
        <v>234</v>
      </c>
      <c r="D6" s="18">
        <v>50000</v>
      </c>
      <c r="E6" s="18" t="s">
        <v>237</v>
      </c>
    </row>
    <row r="7" spans="1:5" x14ac:dyDescent="0.2">
      <c r="A7" s="18" t="s">
        <v>241</v>
      </c>
      <c r="B7" s="18">
        <v>106</v>
      </c>
      <c r="C7" s="18" t="s">
        <v>234</v>
      </c>
      <c r="D7" s="18">
        <v>65000</v>
      </c>
      <c r="E7" s="18" t="s">
        <v>235</v>
      </c>
    </row>
    <row r="8" spans="1:5" x14ac:dyDescent="0.2">
      <c r="A8" s="18" t="s">
        <v>242</v>
      </c>
      <c r="B8" s="18">
        <v>107</v>
      </c>
      <c r="C8" s="18" t="s">
        <v>234</v>
      </c>
      <c r="D8" s="18">
        <v>48000</v>
      </c>
      <c r="E8" s="18" t="s">
        <v>235</v>
      </c>
    </row>
    <row r="9" spans="1:5" x14ac:dyDescent="0.2">
      <c r="A9" s="18" t="s">
        <v>243</v>
      </c>
      <c r="B9" s="18">
        <v>108</v>
      </c>
      <c r="C9" s="18" t="s">
        <v>234</v>
      </c>
      <c r="D9" s="18">
        <v>52000</v>
      </c>
      <c r="E9" s="18" t="s">
        <v>237</v>
      </c>
    </row>
    <row r="10" spans="1:5" x14ac:dyDescent="0.2">
      <c r="A10" s="18" t="s">
        <v>244</v>
      </c>
      <c r="B10" s="18">
        <v>109</v>
      </c>
      <c r="C10" s="18" t="s">
        <v>234</v>
      </c>
      <c r="D10" s="18">
        <v>50000</v>
      </c>
      <c r="E10" s="18" t="s">
        <v>235</v>
      </c>
    </row>
    <row r="11" spans="1:5" x14ac:dyDescent="0.2">
      <c r="A11" s="18" t="s">
        <v>245</v>
      </c>
      <c r="B11" s="18">
        <v>110</v>
      </c>
      <c r="C11" s="18" t="s">
        <v>234</v>
      </c>
      <c r="D11" s="18">
        <v>60000</v>
      </c>
      <c r="E11" s="18" t="s">
        <v>235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1F21-80E2-C24D-994B-9A994306A836}">
  <dimension ref="A1:E11"/>
  <sheetViews>
    <sheetView workbookViewId="0">
      <selection activeCell="A2" sqref="A2:E11"/>
    </sheetView>
  </sheetViews>
  <sheetFormatPr baseColWidth="10" defaultRowHeight="16" x14ac:dyDescent="0.2"/>
  <cols>
    <col min="1" max="1" width="12.33203125" customWidth="1"/>
    <col min="3" max="3" width="10.83203125" style="13"/>
    <col min="5" max="5" width="16.1640625" style="4" customWidth="1"/>
  </cols>
  <sheetData>
    <row r="1" spans="1:5" x14ac:dyDescent="0.2">
      <c r="A1" t="s">
        <v>37</v>
      </c>
      <c r="B1" t="s">
        <v>17</v>
      </c>
      <c r="C1" s="13" t="s">
        <v>24</v>
      </c>
      <c r="D1" t="s">
        <v>36</v>
      </c>
      <c r="E1" s="4" t="s">
        <v>38</v>
      </c>
    </row>
    <row r="2" spans="1:5" x14ac:dyDescent="0.2">
      <c r="A2" s="18" t="s">
        <v>246</v>
      </c>
      <c r="B2" s="18" t="s">
        <v>247</v>
      </c>
      <c r="C2" s="22">
        <v>46055</v>
      </c>
      <c r="D2" s="18">
        <v>25000</v>
      </c>
      <c r="E2" s="18" t="s">
        <v>235</v>
      </c>
    </row>
    <row r="3" spans="1:5" x14ac:dyDescent="0.2">
      <c r="A3" s="18" t="s">
        <v>248</v>
      </c>
      <c r="B3" s="18" t="s">
        <v>249</v>
      </c>
      <c r="C3" s="22">
        <v>46083</v>
      </c>
      <c r="D3" s="18">
        <v>40000</v>
      </c>
      <c r="E3" s="18" t="s">
        <v>237</v>
      </c>
    </row>
    <row r="4" spans="1:5" x14ac:dyDescent="0.2">
      <c r="A4" s="18" t="s">
        <v>250</v>
      </c>
      <c r="B4" s="18" t="s">
        <v>251</v>
      </c>
      <c r="C4" s="22">
        <v>46114</v>
      </c>
      <c r="D4" s="18">
        <v>30000</v>
      </c>
      <c r="E4" s="18" t="s">
        <v>235</v>
      </c>
    </row>
    <row r="5" spans="1:5" x14ac:dyDescent="0.2">
      <c r="A5" s="18" t="s">
        <v>252</v>
      </c>
      <c r="B5" s="18" t="s">
        <v>253</v>
      </c>
      <c r="C5" s="22">
        <v>46144</v>
      </c>
      <c r="D5" s="18">
        <v>35000</v>
      </c>
      <c r="E5" s="18" t="s">
        <v>235</v>
      </c>
    </row>
    <row r="6" spans="1:5" x14ac:dyDescent="0.2">
      <c r="A6" s="18" t="s">
        <v>254</v>
      </c>
      <c r="B6" s="18" t="s">
        <v>255</v>
      </c>
      <c r="C6" s="22">
        <v>46175</v>
      </c>
      <c r="D6" s="18">
        <v>20000</v>
      </c>
      <c r="E6" s="18" t="s">
        <v>237</v>
      </c>
    </row>
    <row r="7" spans="1:5" x14ac:dyDescent="0.2">
      <c r="A7" s="18" t="s">
        <v>256</v>
      </c>
      <c r="B7" s="18" t="s">
        <v>257</v>
      </c>
      <c r="C7" s="22">
        <v>46205</v>
      </c>
      <c r="D7" s="18">
        <v>45000</v>
      </c>
      <c r="E7" s="18" t="s">
        <v>235</v>
      </c>
    </row>
    <row r="8" spans="1:5" x14ac:dyDescent="0.2">
      <c r="A8" s="18" t="s">
        <v>258</v>
      </c>
      <c r="B8" s="18" t="s">
        <v>259</v>
      </c>
      <c r="C8" s="22">
        <v>46236</v>
      </c>
      <c r="D8" s="18">
        <v>50000</v>
      </c>
      <c r="E8" s="18" t="s">
        <v>235</v>
      </c>
    </row>
    <row r="9" spans="1:5" x14ac:dyDescent="0.2">
      <c r="A9" s="18" t="s">
        <v>260</v>
      </c>
      <c r="B9" s="18" t="s">
        <v>261</v>
      </c>
      <c r="C9" s="22">
        <v>46267</v>
      </c>
      <c r="D9" s="18">
        <v>28000</v>
      </c>
      <c r="E9" s="18" t="s">
        <v>237</v>
      </c>
    </row>
    <row r="10" spans="1:5" x14ac:dyDescent="0.2">
      <c r="A10" s="18" t="s">
        <v>262</v>
      </c>
      <c r="B10" s="18" t="s">
        <v>263</v>
      </c>
      <c r="C10" s="22">
        <v>46297</v>
      </c>
      <c r="D10" s="18">
        <v>32000</v>
      </c>
      <c r="E10" s="18" t="s">
        <v>235</v>
      </c>
    </row>
    <row r="11" spans="1:5" x14ac:dyDescent="0.2">
      <c r="A11" s="18" t="s">
        <v>264</v>
      </c>
      <c r="B11" s="18" t="s">
        <v>265</v>
      </c>
      <c r="C11" s="22">
        <v>46328</v>
      </c>
      <c r="D11" s="18">
        <v>36000</v>
      </c>
      <c r="E11" s="18" t="s">
        <v>235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6DBC-A768-AD42-AD34-8DFC51EF48BF}">
  <dimension ref="A1:E11"/>
  <sheetViews>
    <sheetView workbookViewId="0">
      <selection activeCell="H20" sqref="H20"/>
    </sheetView>
  </sheetViews>
  <sheetFormatPr baseColWidth="10" defaultRowHeight="16" x14ac:dyDescent="0.2"/>
  <cols>
    <col min="1" max="1" width="12.1640625" customWidth="1"/>
    <col min="2" max="2" width="10.83203125" style="13"/>
    <col min="3" max="3" width="11" style="4" customWidth="1"/>
    <col min="5" max="5" width="10.83203125" style="4"/>
  </cols>
  <sheetData>
    <row r="1" spans="1:5" x14ac:dyDescent="0.2">
      <c r="A1" t="s">
        <v>39</v>
      </c>
      <c r="B1" s="13" t="s">
        <v>24</v>
      </c>
      <c r="C1" s="4" t="s">
        <v>40</v>
      </c>
      <c r="D1" t="s">
        <v>36</v>
      </c>
      <c r="E1" s="4" t="s">
        <v>41</v>
      </c>
    </row>
    <row r="2" spans="1:5" x14ac:dyDescent="0.2">
      <c r="A2" s="18" t="s">
        <v>266</v>
      </c>
      <c r="B2" s="22">
        <v>46024</v>
      </c>
      <c r="C2" s="18" t="s">
        <v>267</v>
      </c>
      <c r="D2" s="18">
        <v>12000</v>
      </c>
      <c r="E2" s="18" t="s">
        <v>268</v>
      </c>
    </row>
    <row r="3" spans="1:5" x14ac:dyDescent="0.2">
      <c r="A3" s="18" t="s">
        <v>269</v>
      </c>
      <c r="B3" s="22">
        <v>46055</v>
      </c>
      <c r="C3" s="18" t="s">
        <v>26</v>
      </c>
      <c r="D3" s="18">
        <v>8000</v>
      </c>
      <c r="E3" s="18" t="s">
        <v>192</v>
      </c>
    </row>
    <row r="4" spans="1:5" x14ac:dyDescent="0.2">
      <c r="A4" s="18" t="s">
        <v>270</v>
      </c>
      <c r="B4" s="22">
        <v>46083</v>
      </c>
      <c r="C4" s="18" t="s">
        <v>271</v>
      </c>
      <c r="D4" s="18">
        <v>50000</v>
      </c>
      <c r="E4" s="18" t="s">
        <v>272</v>
      </c>
    </row>
    <row r="5" spans="1:5" x14ac:dyDescent="0.2">
      <c r="A5" s="18" t="s">
        <v>273</v>
      </c>
      <c r="B5" s="22">
        <v>46114</v>
      </c>
      <c r="C5" s="18" t="s">
        <v>267</v>
      </c>
      <c r="D5" s="18">
        <v>15000</v>
      </c>
      <c r="E5" s="18" t="s">
        <v>274</v>
      </c>
    </row>
    <row r="6" spans="1:5" x14ac:dyDescent="0.2">
      <c r="A6" s="18" t="s">
        <v>275</v>
      </c>
      <c r="B6" s="22">
        <v>46144</v>
      </c>
      <c r="C6" s="18" t="s">
        <v>26</v>
      </c>
      <c r="D6" s="18">
        <v>10000</v>
      </c>
      <c r="E6" s="18" t="s">
        <v>194</v>
      </c>
    </row>
    <row r="7" spans="1:5" x14ac:dyDescent="0.2">
      <c r="A7" s="18" t="s">
        <v>276</v>
      </c>
      <c r="B7" s="22">
        <v>46175</v>
      </c>
      <c r="C7" s="18" t="s">
        <v>271</v>
      </c>
      <c r="D7" s="18">
        <v>60000</v>
      </c>
      <c r="E7" s="18" t="s">
        <v>272</v>
      </c>
    </row>
    <row r="8" spans="1:5" x14ac:dyDescent="0.2">
      <c r="A8" s="18" t="s">
        <v>277</v>
      </c>
      <c r="B8" s="22">
        <v>46205</v>
      </c>
      <c r="C8" s="18" t="s">
        <v>267</v>
      </c>
      <c r="D8" s="18">
        <v>13000</v>
      </c>
      <c r="E8" s="18" t="s">
        <v>268</v>
      </c>
    </row>
    <row r="9" spans="1:5" x14ac:dyDescent="0.2">
      <c r="A9" s="18" t="s">
        <v>278</v>
      </c>
      <c r="B9" s="22">
        <v>46236</v>
      </c>
      <c r="C9" s="18" t="s">
        <v>26</v>
      </c>
      <c r="D9" s="18">
        <v>7000</v>
      </c>
      <c r="E9" s="18" t="s">
        <v>279</v>
      </c>
    </row>
    <row r="10" spans="1:5" x14ac:dyDescent="0.2">
      <c r="A10" s="18" t="s">
        <v>280</v>
      </c>
      <c r="B10" s="22">
        <v>46267</v>
      </c>
      <c r="C10" s="18" t="s">
        <v>271</v>
      </c>
      <c r="D10" s="18">
        <v>55000</v>
      </c>
      <c r="E10" s="18" t="s">
        <v>272</v>
      </c>
    </row>
    <row r="11" spans="1:5" x14ac:dyDescent="0.2">
      <c r="A11" s="18" t="s">
        <v>281</v>
      </c>
      <c r="B11" s="22">
        <v>46297</v>
      </c>
      <c r="C11" s="18" t="s">
        <v>267</v>
      </c>
      <c r="D11" s="18">
        <v>14000</v>
      </c>
      <c r="E11" s="18" t="s">
        <v>274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8F75-17B5-8944-8311-A97442D7E3EA}">
  <dimension ref="A1:F11"/>
  <sheetViews>
    <sheetView workbookViewId="0">
      <pane ySplit="1" topLeftCell="A2" activePane="bottomLeft" state="frozen"/>
      <selection pane="bottomLeft" activeCell="H23" sqref="H23"/>
    </sheetView>
  </sheetViews>
  <sheetFormatPr baseColWidth="10" defaultRowHeight="16" x14ac:dyDescent="0.2"/>
  <cols>
    <col min="1" max="1" width="12.6640625" customWidth="1"/>
    <col min="3" max="3" width="10.83203125" style="13"/>
    <col min="5" max="6" width="10.83203125" style="4"/>
  </cols>
  <sheetData>
    <row r="1" spans="1:6" x14ac:dyDescent="0.2">
      <c r="A1" t="s">
        <v>42</v>
      </c>
      <c r="B1" t="s">
        <v>17</v>
      </c>
      <c r="C1" s="13" t="s">
        <v>24</v>
      </c>
      <c r="D1" t="s">
        <v>36</v>
      </c>
      <c r="E1" s="4" t="s">
        <v>43</v>
      </c>
      <c r="F1" s="4" t="s">
        <v>9</v>
      </c>
    </row>
    <row r="2" spans="1:6" x14ac:dyDescent="0.2">
      <c r="A2" s="18" t="s">
        <v>282</v>
      </c>
      <c r="B2" s="18" t="s">
        <v>247</v>
      </c>
      <c r="C2" s="22">
        <v>46055</v>
      </c>
      <c r="D2" s="18">
        <v>25000</v>
      </c>
      <c r="E2" s="18" t="s">
        <v>283</v>
      </c>
      <c r="F2" s="18" t="s">
        <v>235</v>
      </c>
    </row>
    <row r="3" spans="1:6" x14ac:dyDescent="0.2">
      <c r="A3" s="18" t="s">
        <v>284</v>
      </c>
      <c r="B3" s="18" t="s">
        <v>249</v>
      </c>
      <c r="C3" s="22">
        <v>46083</v>
      </c>
      <c r="D3" s="18">
        <v>40000</v>
      </c>
      <c r="E3" s="18" t="s">
        <v>285</v>
      </c>
      <c r="F3" s="18" t="s">
        <v>237</v>
      </c>
    </row>
    <row r="4" spans="1:6" x14ac:dyDescent="0.2">
      <c r="A4" s="18" t="s">
        <v>286</v>
      </c>
      <c r="B4" s="18" t="s">
        <v>251</v>
      </c>
      <c r="C4" s="22">
        <v>46114</v>
      </c>
      <c r="D4" s="18">
        <v>30000</v>
      </c>
      <c r="E4" s="18" t="s">
        <v>283</v>
      </c>
      <c r="F4" s="18" t="s">
        <v>235</v>
      </c>
    </row>
    <row r="5" spans="1:6" x14ac:dyDescent="0.2">
      <c r="A5" s="18" t="s">
        <v>287</v>
      </c>
      <c r="B5" s="18" t="s">
        <v>253</v>
      </c>
      <c r="C5" s="22">
        <v>46144</v>
      </c>
      <c r="D5" s="18">
        <v>35000</v>
      </c>
      <c r="E5" s="18" t="s">
        <v>288</v>
      </c>
      <c r="F5" s="18" t="s">
        <v>235</v>
      </c>
    </row>
    <row r="6" spans="1:6" x14ac:dyDescent="0.2">
      <c r="A6" s="18" t="s">
        <v>289</v>
      </c>
      <c r="B6" s="18" t="s">
        <v>255</v>
      </c>
      <c r="C6" s="22">
        <v>46175</v>
      </c>
      <c r="D6" s="18">
        <v>20000</v>
      </c>
      <c r="E6" s="18" t="s">
        <v>285</v>
      </c>
      <c r="F6" s="18" t="s">
        <v>237</v>
      </c>
    </row>
    <row r="7" spans="1:6" x14ac:dyDescent="0.2">
      <c r="A7" s="18" t="s">
        <v>290</v>
      </c>
      <c r="B7" s="18" t="s">
        <v>257</v>
      </c>
      <c r="C7" s="22">
        <v>46205</v>
      </c>
      <c r="D7" s="18">
        <v>45000</v>
      </c>
      <c r="E7" s="18" t="s">
        <v>283</v>
      </c>
      <c r="F7" s="18" t="s">
        <v>235</v>
      </c>
    </row>
    <row r="8" spans="1:6" x14ac:dyDescent="0.2">
      <c r="A8" s="18" t="s">
        <v>291</v>
      </c>
      <c r="B8" s="18" t="s">
        <v>259</v>
      </c>
      <c r="C8" s="22">
        <v>46236</v>
      </c>
      <c r="D8" s="18">
        <v>50000</v>
      </c>
      <c r="E8" s="18" t="s">
        <v>288</v>
      </c>
      <c r="F8" s="18" t="s">
        <v>235</v>
      </c>
    </row>
    <row r="9" spans="1:6" x14ac:dyDescent="0.2">
      <c r="A9" s="18" t="s">
        <v>292</v>
      </c>
      <c r="B9" s="18" t="s">
        <v>261</v>
      </c>
      <c r="C9" s="22">
        <v>46267</v>
      </c>
      <c r="D9" s="18">
        <v>28000</v>
      </c>
      <c r="E9" s="18" t="s">
        <v>285</v>
      </c>
      <c r="F9" s="18" t="s">
        <v>237</v>
      </c>
    </row>
    <row r="10" spans="1:6" x14ac:dyDescent="0.2">
      <c r="A10" s="18" t="s">
        <v>293</v>
      </c>
      <c r="B10" s="18" t="s">
        <v>263</v>
      </c>
      <c r="C10" s="22">
        <v>46297</v>
      </c>
      <c r="D10" s="18">
        <v>32000</v>
      </c>
      <c r="E10" s="18" t="s">
        <v>283</v>
      </c>
      <c r="F10" s="18" t="s">
        <v>235</v>
      </c>
    </row>
    <row r="11" spans="1:6" x14ac:dyDescent="0.2">
      <c r="A11" s="18" t="s">
        <v>294</v>
      </c>
      <c r="B11" s="18" t="s">
        <v>265</v>
      </c>
      <c r="C11" s="22">
        <v>46328</v>
      </c>
      <c r="D11" s="18">
        <v>36000</v>
      </c>
      <c r="E11" s="18" t="s">
        <v>288</v>
      </c>
      <c r="F11" s="18" t="s">
        <v>235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6E50-C519-314D-AB38-FAB7AB17F1A8}">
  <dimension ref="A1:E100"/>
  <sheetViews>
    <sheetView zoomScale="85" workbookViewId="0">
      <pane ySplit="1" topLeftCell="A2" activePane="bottomLeft" state="frozen"/>
      <selection pane="bottomLeft" activeCell="H11" sqref="H11"/>
    </sheetView>
  </sheetViews>
  <sheetFormatPr baseColWidth="10" defaultRowHeight="16" x14ac:dyDescent="0.2"/>
  <cols>
    <col min="4" max="4" width="11.33203125" customWidth="1"/>
  </cols>
  <sheetData>
    <row r="1" spans="1:5" x14ac:dyDescent="0.2">
      <c r="A1" t="s">
        <v>44</v>
      </c>
      <c r="B1" t="s">
        <v>17</v>
      </c>
      <c r="C1" t="s">
        <v>45</v>
      </c>
      <c r="D1" t="s">
        <v>46</v>
      </c>
      <c r="E1" t="s">
        <v>47</v>
      </c>
    </row>
    <row r="2" spans="1:5" x14ac:dyDescent="0.2">
      <c r="A2" s="18" t="s">
        <v>295</v>
      </c>
      <c r="B2" s="18" t="s">
        <v>247</v>
      </c>
      <c r="C2" s="18">
        <v>25000</v>
      </c>
      <c r="D2" s="18">
        <v>12000</v>
      </c>
      <c r="E2" s="18">
        <f>Table16[[#This Row],[Revenue]]-Table16[[#This Row],[Expenses]]</f>
        <v>13000</v>
      </c>
    </row>
    <row r="3" spans="1:5" x14ac:dyDescent="0.2">
      <c r="A3" s="18" t="s">
        <v>296</v>
      </c>
      <c r="B3" s="18" t="s">
        <v>249</v>
      </c>
      <c r="C3" s="18">
        <v>40000</v>
      </c>
      <c r="D3" s="18">
        <v>18000</v>
      </c>
      <c r="E3" s="18">
        <f>Table16[[#This Row],[Revenue]]-Table16[[#This Row],[Expenses]]</f>
        <v>22000</v>
      </c>
    </row>
    <row r="4" spans="1:5" x14ac:dyDescent="0.2">
      <c r="A4" s="18" t="s">
        <v>297</v>
      </c>
      <c r="B4" s="18" t="s">
        <v>251</v>
      </c>
      <c r="C4" s="18">
        <v>30000</v>
      </c>
      <c r="D4" s="18">
        <v>15000</v>
      </c>
      <c r="E4" s="18">
        <f>Table16[[#This Row],[Revenue]]-Table16[[#This Row],[Expenses]]</f>
        <v>15000</v>
      </c>
    </row>
    <row r="5" spans="1:5" x14ac:dyDescent="0.2">
      <c r="A5" s="18" t="s">
        <v>298</v>
      </c>
      <c r="B5" s="18" t="s">
        <v>253</v>
      </c>
      <c r="C5" s="18">
        <v>35000</v>
      </c>
      <c r="D5" s="18">
        <v>17000</v>
      </c>
      <c r="E5" s="18">
        <f>Table16[[#This Row],[Revenue]]-Table16[[#This Row],[Expenses]]</f>
        <v>18000</v>
      </c>
    </row>
    <row r="6" spans="1:5" x14ac:dyDescent="0.2">
      <c r="A6" s="18" t="s">
        <v>299</v>
      </c>
      <c r="B6" s="18" t="s">
        <v>255</v>
      </c>
      <c r="C6" s="18">
        <v>20000</v>
      </c>
      <c r="D6" s="18">
        <v>10000</v>
      </c>
      <c r="E6" s="18">
        <f>Table16[[#This Row],[Revenue]]-Table16[[#This Row],[Expenses]]</f>
        <v>10000</v>
      </c>
    </row>
    <row r="7" spans="1:5" x14ac:dyDescent="0.2">
      <c r="A7" s="18" t="s">
        <v>300</v>
      </c>
      <c r="B7" s="18" t="s">
        <v>257</v>
      </c>
      <c r="C7" s="18">
        <v>45000</v>
      </c>
      <c r="D7" s="18">
        <v>20000</v>
      </c>
      <c r="E7" s="18">
        <f>Table16[[#This Row],[Revenue]]-Table16[[#This Row],[Expenses]]</f>
        <v>25000</v>
      </c>
    </row>
    <row r="8" spans="1:5" x14ac:dyDescent="0.2">
      <c r="A8" s="18" t="s">
        <v>301</v>
      </c>
      <c r="B8" s="18" t="s">
        <v>259</v>
      </c>
      <c r="C8" s="18">
        <v>50000</v>
      </c>
      <c r="D8" s="18">
        <v>22000</v>
      </c>
      <c r="E8" s="18">
        <f>Table16[[#This Row],[Revenue]]-Table16[[#This Row],[Expenses]]</f>
        <v>28000</v>
      </c>
    </row>
    <row r="9" spans="1:5" x14ac:dyDescent="0.2">
      <c r="A9" s="18" t="s">
        <v>302</v>
      </c>
      <c r="B9" s="18" t="s">
        <v>261</v>
      </c>
      <c r="C9" s="18">
        <v>28000</v>
      </c>
      <c r="D9" s="18">
        <v>13000</v>
      </c>
      <c r="E9" s="18">
        <f>Table16[[#This Row],[Revenue]]-Table16[[#This Row],[Expenses]]</f>
        <v>15000</v>
      </c>
    </row>
    <row r="10" spans="1:5" x14ac:dyDescent="0.2">
      <c r="A10" s="18" t="s">
        <v>303</v>
      </c>
      <c r="B10" s="18" t="s">
        <v>263</v>
      </c>
      <c r="C10" s="18">
        <v>32000</v>
      </c>
      <c r="D10" s="18">
        <v>14000</v>
      </c>
      <c r="E10" s="18">
        <f>Table16[[#This Row],[Revenue]]-Table16[[#This Row],[Expenses]]</f>
        <v>18000</v>
      </c>
    </row>
    <row r="11" spans="1:5" x14ac:dyDescent="0.2">
      <c r="A11" s="18" t="s">
        <v>304</v>
      </c>
      <c r="B11" s="18" t="s">
        <v>265</v>
      </c>
      <c r="C11" s="18">
        <v>36000</v>
      </c>
      <c r="D11" s="18">
        <v>16000</v>
      </c>
      <c r="E11" s="18">
        <f>Table16[[#This Row],[Revenue]]-Table16[[#This Row],[Expenses]]</f>
        <v>20000</v>
      </c>
    </row>
    <row r="12" spans="1:5" x14ac:dyDescent="0.2">
      <c r="E12">
        <f>Table16[[#This Row],[Revenue]]-Table16[[#This Row],[Expenses]]</f>
        <v>0</v>
      </c>
    </row>
    <row r="13" spans="1:5" x14ac:dyDescent="0.2">
      <c r="E13">
        <f>Table16[[#This Row],[Revenue]]-Table16[[#This Row],[Expenses]]</f>
        <v>0</v>
      </c>
    </row>
    <row r="14" spans="1:5" x14ac:dyDescent="0.2">
      <c r="E14">
        <f>Table16[[#This Row],[Revenue]]-Table16[[#This Row],[Expenses]]</f>
        <v>0</v>
      </c>
    </row>
    <row r="15" spans="1:5" x14ac:dyDescent="0.2">
      <c r="E15">
        <f>Table16[[#This Row],[Revenue]]-Table16[[#This Row],[Expenses]]</f>
        <v>0</v>
      </c>
    </row>
    <row r="16" spans="1:5" x14ac:dyDescent="0.2">
      <c r="E16">
        <f>Table16[[#This Row],[Revenue]]-Table16[[#This Row],[Expenses]]</f>
        <v>0</v>
      </c>
    </row>
    <row r="17" spans="5:5" x14ac:dyDescent="0.2">
      <c r="E17">
        <f>Table16[[#This Row],[Revenue]]-Table16[[#This Row],[Expenses]]</f>
        <v>0</v>
      </c>
    </row>
    <row r="18" spans="5:5" x14ac:dyDescent="0.2">
      <c r="E18">
        <f>Table16[[#This Row],[Revenue]]-Table16[[#This Row],[Expenses]]</f>
        <v>0</v>
      </c>
    </row>
    <row r="19" spans="5:5" x14ac:dyDescent="0.2">
      <c r="E19">
        <f>Table16[[#This Row],[Revenue]]-Table16[[#This Row],[Expenses]]</f>
        <v>0</v>
      </c>
    </row>
    <row r="20" spans="5:5" x14ac:dyDescent="0.2">
      <c r="E20">
        <f>Table16[[#This Row],[Revenue]]-Table16[[#This Row],[Expenses]]</f>
        <v>0</v>
      </c>
    </row>
    <row r="21" spans="5:5" x14ac:dyDescent="0.2">
      <c r="E21">
        <f>Table16[[#This Row],[Revenue]]-Table16[[#This Row],[Expenses]]</f>
        <v>0</v>
      </c>
    </row>
    <row r="22" spans="5:5" x14ac:dyDescent="0.2">
      <c r="E22">
        <f>Table16[[#This Row],[Revenue]]-Table16[[#This Row],[Expenses]]</f>
        <v>0</v>
      </c>
    </row>
    <row r="23" spans="5:5" x14ac:dyDescent="0.2">
      <c r="E23">
        <f>Table16[[#This Row],[Revenue]]-Table16[[#This Row],[Expenses]]</f>
        <v>0</v>
      </c>
    </row>
    <row r="24" spans="5:5" x14ac:dyDescent="0.2">
      <c r="E24">
        <f>Table16[[#This Row],[Revenue]]-Table16[[#This Row],[Expenses]]</f>
        <v>0</v>
      </c>
    </row>
    <row r="25" spans="5:5" x14ac:dyDescent="0.2">
      <c r="E25">
        <f>Table16[[#This Row],[Revenue]]-Table16[[#This Row],[Expenses]]</f>
        <v>0</v>
      </c>
    </row>
    <row r="26" spans="5:5" x14ac:dyDescent="0.2">
      <c r="E26">
        <f>Table16[[#This Row],[Revenue]]-Table16[[#This Row],[Expenses]]</f>
        <v>0</v>
      </c>
    </row>
    <row r="27" spans="5:5" x14ac:dyDescent="0.2">
      <c r="E27">
        <f>Table16[[#This Row],[Revenue]]-Table16[[#This Row],[Expenses]]</f>
        <v>0</v>
      </c>
    </row>
    <row r="28" spans="5:5" x14ac:dyDescent="0.2">
      <c r="E28">
        <f>Table16[[#This Row],[Revenue]]-Table16[[#This Row],[Expenses]]</f>
        <v>0</v>
      </c>
    </row>
    <row r="29" spans="5:5" x14ac:dyDescent="0.2">
      <c r="E29">
        <f>Table16[[#This Row],[Revenue]]-Table16[[#This Row],[Expenses]]</f>
        <v>0</v>
      </c>
    </row>
    <row r="30" spans="5:5" x14ac:dyDescent="0.2">
      <c r="E30">
        <f>Table16[[#This Row],[Revenue]]-Table16[[#This Row],[Expenses]]</f>
        <v>0</v>
      </c>
    </row>
    <row r="31" spans="5:5" x14ac:dyDescent="0.2">
      <c r="E31">
        <f>Table16[[#This Row],[Revenue]]-Table16[[#This Row],[Expenses]]</f>
        <v>0</v>
      </c>
    </row>
    <row r="32" spans="5:5" x14ac:dyDescent="0.2">
      <c r="E32">
        <f>Table16[[#This Row],[Revenue]]-Table16[[#This Row],[Expenses]]</f>
        <v>0</v>
      </c>
    </row>
    <row r="33" spans="5:5" x14ac:dyDescent="0.2">
      <c r="E33">
        <f>Table16[[#This Row],[Revenue]]-Table16[[#This Row],[Expenses]]</f>
        <v>0</v>
      </c>
    </row>
    <row r="34" spans="5:5" x14ac:dyDescent="0.2">
      <c r="E34">
        <f>Table16[[#This Row],[Revenue]]-Table16[[#This Row],[Expenses]]</f>
        <v>0</v>
      </c>
    </row>
    <row r="35" spans="5:5" x14ac:dyDescent="0.2">
      <c r="E35">
        <f>Table16[[#This Row],[Revenue]]-Table16[[#This Row],[Expenses]]</f>
        <v>0</v>
      </c>
    </row>
    <row r="36" spans="5:5" x14ac:dyDescent="0.2">
      <c r="E36">
        <f>Table16[[#This Row],[Revenue]]-Table16[[#This Row],[Expenses]]</f>
        <v>0</v>
      </c>
    </row>
    <row r="37" spans="5:5" x14ac:dyDescent="0.2">
      <c r="E37">
        <f>Table16[[#This Row],[Revenue]]-Table16[[#This Row],[Expenses]]</f>
        <v>0</v>
      </c>
    </row>
    <row r="38" spans="5:5" x14ac:dyDescent="0.2">
      <c r="E38">
        <f>Table16[[#This Row],[Revenue]]-Table16[[#This Row],[Expenses]]</f>
        <v>0</v>
      </c>
    </row>
    <row r="39" spans="5:5" x14ac:dyDescent="0.2">
      <c r="E39">
        <f>Table16[[#This Row],[Revenue]]-Table16[[#This Row],[Expenses]]</f>
        <v>0</v>
      </c>
    </row>
    <row r="40" spans="5:5" x14ac:dyDescent="0.2">
      <c r="E40">
        <f>Table16[[#This Row],[Revenue]]-Table16[[#This Row],[Expenses]]</f>
        <v>0</v>
      </c>
    </row>
    <row r="41" spans="5:5" x14ac:dyDescent="0.2">
      <c r="E41">
        <f>Table16[[#This Row],[Revenue]]-Table16[[#This Row],[Expenses]]</f>
        <v>0</v>
      </c>
    </row>
    <row r="42" spans="5:5" x14ac:dyDescent="0.2">
      <c r="E42">
        <f>Table16[[#This Row],[Revenue]]-Table16[[#This Row],[Expenses]]</f>
        <v>0</v>
      </c>
    </row>
    <row r="43" spans="5:5" x14ac:dyDescent="0.2">
      <c r="E43">
        <f>Table16[[#This Row],[Revenue]]-Table16[[#This Row],[Expenses]]</f>
        <v>0</v>
      </c>
    </row>
    <row r="44" spans="5:5" x14ac:dyDescent="0.2">
      <c r="E44">
        <f>Table16[[#This Row],[Revenue]]-Table16[[#This Row],[Expenses]]</f>
        <v>0</v>
      </c>
    </row>
    <row r="45" spans="5:5" x14ac:dyDescent="0.2">
      <c r="E45">
        <f>Table16[[#This Row],[Revenue]]-Table16[[#This Row],[Expenses]]</f>
        <v>0</v>
      </c>
    </row>
    <row r="46" spans="5:5" x14ac:dyDescent="0.2">
      <c r="E46">
        <f>Table16[[#This Row],[Revenue]]-Table16[[#This Row],[Expenses]]</f>
        <v>0</v>
      </c>
    </row>
    <row r="47" spans="5:5" x14ac:dyDescent="0.2">
      <c r="E47">
        <f>Table16[[#This Row],[Revenue]]-Table16[[#This Row],[Expenses]]</f>
        <v>0</v>
      </c>
    </row>
    <row r="48" spans="5:5" x14ac:dyDescent="0.2">
      <c r="E48">
        <f>Table16[[#This Row],[Revenue]]-Table16[[#This Row],[Expenses]]</f>
        <v>0</v>
      </c>
    </row>
    <row r="49" spans="5:5" x14ac:dyDescent="0.2">
      <c r="E49">
        <f>Table16[[#This Row],[Revenue]]-Table16[[#This Row],[Expenses]]</f>
        <v>0</v>
      </c>
    </row>
    <row r="50" spans="5:5" x14ac:dyDescent="0.2">
      <c r="E50">
        <f>Table16[[#This Row],[Revenue]]-Table16[[#This Row],[Expenses]]</f>
        <v>0</v>
      </c>
    </row>
    <row r="51" spans="5:5" x14ac:dyDescent="0.2">
      <c r="E51">
        <f>Table16[[#This Row],[Revenue]]-Table16[[#This Row],[Expenses]]</f>
        <v>0</v>
      </c>
    </row>
    <row r="52" spans="5:5" x14ac:dyDescent="0.2">
      <c r="E52">
        <f>Table16[[#This Row],[Revenue]]-Table16[[#This Row],[Expenses]]</f>
        <v>0</v>
      </c>
    </row>
    <row r="53" spans="5:5" x14ac:dyDescent="0.2">
      <c r="E53">
        <f>Table16[[#This Row],[Revenue]]-Table16[[#This Row],[Expenses]]</f>
        <v>0</v>
      </c>
    </row>
    <row r="54" spans="5:5" x14ac:dyDescent="0.2">
      <c r="E54">
        <f>Table16[[#This Row],[Revenue]]-Table16[[#This Row],[Expenses]]</f>
        <v>0</v>
      </c>
    </row>
    <row r="55" spans="5:5" x14ac:dyDescent="0.2">
      <c r="E55">
        <f>Table16[[#This Row],[Revenue]]-Table16[[#This Row],[Expenses]]</f>
        <v>0</v>
      </c>
    </row>
    <row r="56" spans="5:5" x14ac:dyDescent="0.2">
      <c r="E56">
        <f>Table16[[#This Row],[Revenue]]-Table16[[#This Row],[Expenses]]</f>
        <v>0</v>
      </c>
    </row>
    <row r="57" spans="5:5" x14ac:dyDescent="0.2">
      <c r="E57">
        <f>Table16[[#This Row],[Revenue]]-Table16[[#This Row],[Expenses]]</f>
        <v>0</v>
      </c>
    </row>
    <row r="58" spans="5:5" x14ac:dyDescent="0.2">
      <c r="E58">
        <f>Table16[[#This Row],[Revenue]]-Table16[[#This Row],[Expenses]]</f>
        <v>0</v>
      </c>
    </row>
    <row r="59" spans="5:5" x14ac:dyDescent="0.2">
      <c r="E59">
        <f>Table16[[#This Row],[Revenue]]-Table16[[#This Row],[Expenses]]</f>
        <v>0</v>
      </c>
    </row>
    <row r="60" spans="5:5" x14ac:dyDescent="0.2">
      <c r="E60">
        <f>Table16[[#This Row],[Revenue]]-Table16[[#This Row],[Expenses]]</f>
        <v>0</v>
      </c>
    </row>
    <row r="61" spans="5:5" x14ac:dyDescent="0.2">
      <c r="E61">
        <f>Table16[[#This Row],[Revenue]]-Table16[[#This Row],[Expenses]]</f>
        <v>0</v>
      </c>
    </row>
    <row r="62" spans="5:5" x14ac:dyDescent="0.2">
      <c r="E62">
        <f>Table16[[#This Row],[Revenue]]-Table16[[#This Row],[Expenses]]</f>
        <v>0</v>
      </c>
    </row>
    <row r="63" spans="5:5" x14ac:dyDescent="0.2">
      <c r="E63">
        <f>Table16[[#This Row],[Revenue]]-Table16[[#This Row],[Expenses]]</f>
        <v>0</v>
      </c>
    </row>
    <row r="64" spans="5:5" x14ac:dyDescent="0.2">
      <c r="E64">
        <f>Table16[[#This Row],[Revenue]]-Table16[[#This Row],[Expenses]]</f>
        <v>0</v>
      </c>
    </row>
    <row r="65" spans="5:5" x14ac:dyDescent="0.2">
      <c r="E65">
        <f>Table16[[#This Row],[Revenue]]-Table16[[#This Row],[Expenses]]</f>
        <v>0</v>
      </c>
    </row>
    <row r="66" spans="5:5" x14ac:dyDescent="0.2">
      <c r="E66">
        <f>Table16[[#This Row],[Revenue]]-Table16[[#This Row],[Expenses]]</f>
        <v>0</v>
      </c>
    </row>
    <row r="67" spans="5:5" x14ac:dyDescent="0.2">
      <c r="E67">
        <f>Table16[[#This Row],[Revenue]]-Table16[[#This Row],[Expenses]]</f>
        <v>0</v>
      </c>
    </row>
    <row r="68" spans="5:5" x14ac:dyDescent="0.2">
      <c r="E68">
        <f>Table16[[#This Row],[Revenue]]-Table16[[#This Row],[Expenses]]</f>
        <v>0</v>
      </c>
    </row>
    <row r="69" spans="5:5" x14ac:dyDescent="0.2">
      <c r="E69">
        <f>Table16[[#This Row],[Revenue]]-Table16[[#This Row],[Expenses]]</f>
        <v>0</v>
      </c>
    </row>
    <row r="70" spans="5:5" x14ac:dyDescent="0.2">
      <c r="E70">
        <f>Table16[[#This Row],[Revenue]]-Table16[[#This Row],[Expenses]]</f>
        <v>0</v>
      </c>
    </row>
    <row r="71" spans="5:5" x14ac:dyDescent="0.2">
      <c r="E71">
        <f>Table16[[#This Row],[Revenue]]-Table16[[#This Row],[Expenses]]</f>
        <v>0</v>
      </c>
    </row>
    <row r="72" spans="5:5" x14ac:dyDescent="0.2">
      <c r="E72">
        <f>Table16[[#This Row],[Revenue]]-Table16[[#This Row],[Expenses]]</f>
        <v>0</v>
      </c>
    </row>
    <row r="73" spans="5:5" x14ac:dyDescent="0.2">
      <c r="E73">
        <f>Table16[[#This Row],[Revenue]]-Table16[[#This Row],[Expenses]]</f>
        <v>0</v>
      </c>
    </row>
    <row r="74" spans="5:5" x14ac:dyDescent="0.2">
      <c r="E74">
        <f>Table16[[#This Row],[Revenue]]-Table16[[#This Row],[Expenses]]</f>
        <v>0</v>
      </c>
    </row>
    <row r="75" spans="5:5" x14ac:dyDescent="0.2">
      <c r="E75">
        <f>Table16[[#This Row],[Revenue]]-Table16[[#This Row],[Expenses]]</f>
        <v>0</v>
      </c>
    </row>
    <row r="76" spans="5:5" x14ac:dyDescent="0.2">
      <c r="E76">
        <f>Table16[[#This Row],[Revenue]]-Table16[[#This Row],[Expenses]]</f>
        <v>0</v>
      </c>
    </row>
    <row r="77" spans="5:5" x14ac:dyDescent="0.2">
      <c r="E77">
        <f>Table16[[#This Row],[Revenue]]-Table16[[#This Row],[Expenses]]</f>
        <v>0</v>
      </c>
    </row>
    <row r="78" spans="5:5" x14ac:dyDescent="0.2">
      <c r="E78">
        <f>Table16[[#This Row],[Revenue]]-Table16[[#This Row],[Expenses]]</f>
        <v>0</v>
      </c>
    </row>
    <row r="79" spans="5:5" x14ac:dyDescent="0.2">
      <c r="E79">
        <f>Table16[[#This Row],[Revenue]]-Table16[[#This Row],[Expenses]]</f>
        <v>0</v>
      </c>
    </row>
    <row r="80" spans="5:5" x14ac:dyDescent="0.2">
      <c r="E80">
        <f>Table16[[#This Row],[Revenue]]-Table16[[#This Row],[Expenses]]</f>
        <v>0</v>
      </c>
    </row>
    <row r="81" spans="5:5" x14ac:dyDescent="0.2">
      <c r="E81">
        <f>Table16[[#This Row],[Revenue]]-Table16[[#This Row],[Expenses]]</f>
        <v>0</v>
      </c>
    </row>
    <row r="82" spans="5:5" x14ac:dyDescent="0.2">
      <c r="E82">
        <f>Table16[[#This Row],[Revenue]]-Table16[[#This Row],[Expenses]]</f>
        <v>0</v>
      </c>
    </row>
    <row r="83" spans="5:5" x14ac:dyDescent="0.2">
      <c r="E83">
        <f>Table16[[#This Row],[Revenue]]-Table16[[#This Row],[Expenses]]</f>
        <v>0</v>
      </c>
    </row>
    <row r="84" spans="5:5" x14ac:dyDescent="0.2">
      <c r="E84">
        <f>Table16[[#This Row],[Revenue]]-Table16[[#This Row],[Expenses]]</f>
        <v>0</v>
      </c>
    </row>
    <row r="85" spans="5:5" x14ac:dyDescent="0.2">
      <c r="E85">
        <f>Table16[[#This Row],[Revenue]]-Table16[[#This Row],[Expenses]]</f>
        <v>0</v>
      </c>
    </row>
    <row r="86" spans="5:5" x14ac:dyDescent="0.2">
      <c r="E86">
        <f>Table16[[#This Row],[Revenue]]-Table16[[#This Row],[Expenses]]</f>
        <v>0</v>
      </c>
    </row>
    <row r="87" spans="5:5" x14ac:dyDescent="0.2">
      <c r="E87">
        <f>Table16[[#This Row],[Revenue]]-Table16[[#This Row],[Expenses]]</f>
        <v>0</v>
      </c>
    </row>
    <row r="88" spans="5:5" x14ac:dyDescent="0.2">
      <c r="E88">
        <f>Table16[[#This Row],[Revenue]]-Table16[[#This Row],[Expenses]]</f>
        <v>0</v>
      </c>
    </row>
    <row r="89" spans="5:5" x14ac:dyDescent="0.2">
      <c r="E89">
        <f>Table16[[#This Row],[Revenue]]-Table16[[#This Row],[Expenses]]</f>
        <v>0</v>
      </c>
    </row>
    <row r="90" spans="5:5" x14ac:dyDescent="0.2">
      <c r="E90">
        <f>Table16[[#This Row],[Revenue]]-Table16[[#This Row],[Expenses]]</f>
        <v>0</v>
      </c>
    </row>
    <row r="91" spans="5:5" x14ac:dyDescent="0.2">
      <c r="E91">
        <f>Table16[[#This Row],[Revenue]]-Table16[[#This Row],[Expenses]]</f>
        <v>0</v>
      </c>
    </row>
    <row r="92" spans="5:5" x14ac:dyDescent="0.2">
      <c r="E92">
        <f>Table16[[#This Row],[Revenue]]-Table16[[#This Row],[Expenses]]</f>
        <v>0</v>
      </c>
    </row>
    <row r="93" spans="5:5" x14ac:dyDescent="0.2">
      <c r="E93">
        <f>Table16[[#This Row],[Revenue]]-Table16[[#This Row],[Expenses]]</f>
        <v>0</v>
      </c>
    </row>
    <row r="94" spans="5:5" x14ac:dyDescent="0.2">
      <c r="E94">
        <f>Table16[[#This Row],[Revenue]]-Table16[[#This Row],[Expenses]]</f>
        <v>0</v>
      </c>
    </row>
    <row r="95" spans="5:5" x14ac:dyDescent="0.2">
      <c r="E95">
        <f>Table16[[#This Row],[Revenue]]-Table16[[#This Row],[Expenses]]</f>
        <v>0</v>
      </c>
    </row>
    <row r="96" spans="5:5" x14ac:dyDescent="0.2">
      <c r="E96">
        <f>Table16[[#This Row],[Revenue]]-Table16[[#This Row],[Expenses]]</f>
        <v>0</v>
      </c>
    </row>
    <row r="97" spans="5:5" x14ac:dyDescent="0.2">
      <c r="E97">
        <f>Table16[[#This Row],[Revenue]]-Table16[[#This Row],[Expenses]]</f>
        <v>0</v>
      </c>
    </row>
    <row r="98" spans="5:5" x14ac:dyDescent="0.2">
      <c r="E98">
        <f>Table16[[#This Row],[Revenue]]-Table16[[#This Row],[Expenses]]</f>
        <v>0</v>
      </c>
    </row>
    <row r="99" spans="5:5" x14ac:dyDescent="0.2">
      <c r="E99">
        <f>Table16[[#This Row],[Revenue]]-Table16[[#This Row],[Expenses]]</f>
        <v>0</v>
      </c>
    </row>
    <row r="100" spans="5:5" x14ac:dyDescent="0.2">
      <c r="E100">
        <f>Table16[[#This Row],[Revenue]]-Table16[[#This Row],[Expenses]]</f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B2FB-3648-8447-A285-6A4356AA0F40}">
  <dimension ref="A1:F100"/>
  <sheetViews>
    <sheetView zoomScale="150" zoomScaleNormal="125" workbookViewId="0">
      <pane ySplit="1" topLeftCell="A2" activePane="bottomLeft" state="frozen"/>
      <selection pane="bottomLeft" activeCell="F20" sqref="F20"/>
    </sheetView>
  </sheetViews>
  <sheetFormatPr baseColWidth="10" defaultRowHeight="16" x14ac:dyDescent="0.2"/>
  <cols>
    <col min="2" max="2" width="12.33203125" style="4" customWidth="1"/>
    <col min="3" max="3" width="11" style="4" customWidth="1"/>
    <col min="6" max="6" width="12.1640625" customWidth="1"/>
  </cols>
  <sheetData>
    <row r="1" spans="1:6" x14ac:dyDescent="0.2">
      <c r="A1" t="s">
        <v>48</v>
      </c>
      <c r="B1" s="4" t="s">
        <v>49</v>
      </c>
      <c r="C1" s="4" t="s">
        <v>40</v>
      </c>
      <c r="D1" t="s">
        <v>50</v>
      </c>
      <c r="E1" t="s">
        <v>51</v>
      </c>
      <c r="F1" t="s">
        <v>52</v>
      </c>
    </row>
    <row r="2" spans="1:6" x14ac:dyDescent="0.2">
      <c r="A2" s="18" t="s">
        <v>425</v>
      </c>
      <c r="B2" s="18" t="s">
        <v>426</v>
      </c>
      <c r="C2" s="18" t="s">
        <v>267</v>
      </c>
      <c r="D2" s="18">
        <v>1000</v>
      </c>
      <c r="E2" s="18">
        <v>120</v>
      </c>
      <c r="F2" s="18">
        <f>Table17[[#This Row],[UnitCost]]*Table17[[#This Row],[Quantity]]</f>
        <v>120000</v>
      </c>
    </row>
    <row r="3" spans="1:6" x14ac:dyDescent="0.2">
      <c r="A3" s="18" t="s">
        <v>427</v>
      </c>
      <c r="B3" s="18" t="s">
        <v>428</v>
      </c>
      <c r="C3" s="18" t="s">
        <v>374</v>
      </c>
      <c r="D3" s="18">
        <v>50</v>
      </c>
      <c r="E3" s="18">
        <v>500</v>
      </c>
      <c r="F3" s="18">
        <f>Table17[[#This Row],[UnitCost]]*Table17[[#This Row],[Quantity]]</f>
        <v>25000</v>
      </c>
    </row>
    <row r="4" spans="1:6" x14ac:dyDescent="0.2">
      <c r="A4" s="18" t="s">
        <v>429</v>
      </c>
      <c r="B4" s="18" t="s">
        <v>430</v>
      </c>
      <c r="C4" s="18" t="s">
        <v>378</v>
      </c>
      <c r="D4" s="18">
        <v>200</v>
      </c>
      <c r="E4" s="18">
        <v>300</v>
      </c>
      <c r="F4" s="18">
        <f>Table17[[#This Row],[UnitCost]]*Table17[[#This Row],[Quantity]]</f>
        <v>60000</v>
      </c>
    </row>
    <row r="5" spans="1:6" x14ac:dyDescent="0.2">
      <c r="A5" s="18" t="s">
        <v>431</v>
      </c>
      <c r="B5" s="18" t="s">
        <v>432</v>
      </c>
      <c r="C5" s="18" t="s">
        <v>378</v>
      </c>
      <c r="D5" s="18">
        <v>500</v>
      </c>
      <c r="E5" s="18">
        <v>50</v>
      </c>
      <c r="F5" s="18">
        <f>Table17[[#This Row],[UnitCost]]*Table17[[#This Row],[Quantity]]</f>
        <v>25000</v>
      </c>
    </row>
    <row r="6" spans="1:6" x14ac:dyDescent="0.2">
      <c r="A6" s="18" t="s">
        <v>433</v>
      </c>
      <c r="B6" s="18" t="s">
        <v>434</v>
      </c>
      <c r="C6" s="18" t="s">
        <v>374</v>
      </c>
      <c r="D6" s="18">
        <v>20</v>
      </c>
      <c r="E6" s="18">
        <v>4000</v>
      </c>
      <c r="F6" s="18">
        <f>Table17[[#This Row],[UnitCost]]*Table17[[#This Row],[Quantity]]</f>
        <v>80000</v>
      </c>
    </row>
    <row r="7" spans="1:6" x14ac:dyDescent="0.2">
      <c r="A7" s="18" t="s">
        <v>435</v>
      </c>
      <c r="B7" s="18" t="s">
        <v>436</v>
      </c>
      <c r="C7" s="18" t="s">
        <v>378</v>
      </c>
      <c r="D7" s="18">
        <v>100</v>
      </c>
      <c r="E7" s="18">
        <v>250</v>
      </c>
      <c r="F7" s="18">
        <f>Table17[[#This Row],[UnitCost]]*Table17[[#This Row],[Quantity]]</f>
        <v>25000</v>
      </c>
    </row>
    <row r="8" spans="1:6" x14ac:dyDescent="0.2">
      <c r="A8" s="18" t="s">
        <v>437</v>
      </c>
      <c r="B8" s="18" t="s">
        <v>438</v>
      </c>
      <c r="C8" s="18" t="s">
        <v>374</v>
      </c>
      <c r="D8" s="18">
        <v>75</v>
      </c>
      <c r="E8" s="18">
        <v>200</v>
      </c>
      <c r="F8" s="18">
        <f>Table17[[#This Row],[UnitCost]]*Table17[[#This Row],[Quantity]]</f>
        <v>15000</v>
      </c>
    </row>
    <row r="9" spans="1:6" x14ac:dyDescent="0.2">
      <c r="A9" s="18" t="s">
        <v>439</v>
      </c>
      <c r="B9" s="18" t="s">
        <v>440</v>
      </c>
      <c r="C9" s="18" t="s">
        <v>378</v>
      </c>
      <c r="D9" s="18">
        <v>60</v>
      </c>
      <c r="E9" s="18">
        <v>150</v>
      </c>
      <c r="F9" s="18">
        <f>Table17[[#This Row],[UnitCost]]*Table17[[#This Row],[Quantity]]</f>
        <v>9000</v>
      </c>
    </row>
    <row r="10" spans="1:6" x14ac:dyDescent="0.2">
      <c r="A10" s="18" t="s">
        <v>441</v>
      </c>
      <c r="B10" s="18" t="s">
        <v>442</v>
      </c>
      <c r="C10" s="18" t="s">
        <v>374</v>
      </c>
      <c r="D10" s="18">
        <v>40</v>
      </c>
      <c r="E10" s="18">
        <v>3500</v>
      </c>
      <c r="F10" s="18">
        <f>Table17[[#This Row],[UnitCost]]*Table17[[#This Row],[Quantity]]</f>
        <v>140000</v>
      </c>
    </row>
    <row r="11" spans="1:6" x14ac:dyDescent="0.2">
      <c r="A11" s="18" t="s">
        <v>443</v>
      </c>
      <c r="B11" s="18" t="s">
        <v>444</v>
      </c>
      <c r="C11" s="18" t="s">
        <v>378</v>
      </c>
      <c r="D11" s="18">
        <v>30</v>
      </c>
      <c r="E11" s="18">
        <v>800</v>
      </c>
      <c r="F11" s="18">
        <f>Table17[[#This Row],[UnitCost]]*Table17[[#This Row],[Quantity]]</f>
        <v>24000</v>
      </c>
    </row>
    <row r="12" spans="1:6" x14ac:dyDescent="0.2">
      <c r="A12" s="18" t="s">
        <v>445</v>
      </c>
      <c r="B12" s="18" t="s">
        <v>446</v>
      </c>
      <c r="C12" s="18" t="s">
        <v>267</v>
      </c>
      <c r="D12" s="18">
        <v>500</v>
      </c>
      <c r="E12" s="18">
        <v>100</v>
      </c>
      <c r="F12" s="18">
        <f>Table17[[#This Row],[UnitCost]]*Table17[[#This Row],[Quantity]]</f>
        <v>50000</v>
      </c>
    </row>
    <row r="13" spans="1:6" x14ac:dyDescent="0.2">
      <c r="A13" s="18" t="s">
        <v>447</v>
      </c>
      <c r="B13" s="18" t="s">
        <v>448</v>
      </c>
      <c r="C13" s="18" t="s">
        <v>378</v>
      </c>
      <c r="D13" s="18">
        <v>120</v>
      </c>
      <c r="E13" s="18">
        <v>280</v>
      </c>
      <c r="F13" s="18">
        <f>Table17[[#This Row],[UnitCost]]*Table17[[#This Row],[Quantity]]</f>
        <v>33600</v>
      </c>
    </row>
    <row r="14" spans="1:6" x14ac:dyDescent="0.2">
      <c r="A14" s="18" t="s">
        <v>449</v>
      </c>
      <c r="B14" s="18" t="s">
        <v>450</v>
      </c>
      <c r="C14" s="18" t="s">
        <v>378</v>
      </c>
      <c r="D14" s="18">
        <v>90</v>
      </c>
      <c r="E14" s="18">
        <v>180</v>
      </c>
      <c r="F14" s="18">
        <f>Table17[[#This Row],[UnitCost]]*Table17[[#This Row],[Quantity]]</f>
        <v>16200</v>
      </c>
    </row>
    <row r="15" spans="1:6" x14ac:dyDescent="0.2">
      <c r="A15" s="18" t="s">
        <v>451</v>
      </c>
      <c r="B15" s="18" t="s">
        <v>452</v>
      </c>
      <c r="C15" s="18" t="s">
        <v>374</v>
      </c>
      <c r="D15" s="18">
        <v>60</v>
      </c>
      <c r="E15" s="18">
        <v>400</v>
      </c>
      <c r="F15" s="18">
        <f>Table17[[#This Row],[UnitCost]]*Table17[[#This Row],[Quantity]]</f>
        <v>24000</v>
      </c>
    </row>
    <row r="16" spans="1:6" x14ac:dyDescent="0.2">
      <c r="A16" s="18" t="s">
        <v>453</v>
      </c>
      <c r="B16" s="18" t="s">
        <v>454</v>
      </c>
      <c r="C16" s="18" t="s">
        <v>378</v>
      </c>
      <c r="D16" s="18">
        <v>70</v>
      </c>
      <c r="E16" s="18">
        <v>350</v>
      </c>
      <c r="F16" s="18">
        <f>Table17[[#This Row],[UnitCost]]*Table17[[#This Row],[Quantity]]</f>
        <v>24500</v>
      </c>
    </row>
    <row r="17" spans="1:6" x14ac:dyDescent="0.2">
      <c r="A17" s="18" t="s">
        <v>455</v>
      </c>
      <c r="B17" s="18" t="s">
        <v>426</v>
      </c>
      <c r="C17" s="18" t="s">
        <v>267</v>
      </c>
      <c r="D17" s="18">
        <v>800</v>
      </c>
      <c r="E17" s="18">
        <v>125</v>
      </c>
      <c r="F17" s="18">
        <f>Table17[[#This Row],[UnitCost]]*Table17[[#This Row],[Quantity]]</f>
        <v>100000</v>
      </c>
    </row>
    <row r="18" spans="1:6" x14ac:dyDescent="0.2">
      <c r="A18" s="18" t="s">
        <v>456</v>
      </c>
      <c r="B18" s="18" t="s">
        <v>434</v>
      </c>
      <c r="C18" s="18" t="s">
        <v>374</v>
      </c>
      <c r="D18" s="18">
        <v>25</v>
      </c>
      <c r="E18" s="18">
        <v>4200</v>
      </c>
      <c r="F18" s="18">
        <f>Table17[[#This Row],[UnitCost]]*Table17[[#This Row],[Quantity]]</f>
        <v>105000</v>
      </c>
    </row>
    <row r="19" spans="1:6" x14ac:dyDescent="0.2">
      <c r="A19" s="18" t="s">
        <v>457</v>
      </c>
      <c r="B19" s="18" t="s">
        <v>430</v>
      </c>
      <c r="C19" s="18" t="s">
        <v>378</v>
      </c>
      <c r="D19" s="18">
        <v>150</v>
      </c>
      <c r="E19" s="18">
        <v>310</v>
      </c>
      <c r="F19" s="18">
        <f>Table17[[#This Row],[UnitCost]]*Table17[[#This Row],[Quantity]]</f>
        <v>46500</v>
      </c>
    </row>
    <row r="20" spans="1:6" x14ac:dyDescent="0.2">
      <c r="A20" s="18" t="s">
        <v>458</v>
      </c>
      <c r="B20" s="18" t="s">
        <v>432</v>
      </c>
      <c r="C20" s="18" t="s">
        <v>378</v>
      </c>
      <c r="D20" s="18">
        <v>600</v>
      </c>
      <c r="E20" s="18">
        <v>55</v>
      </c>
      <c r="F20" s="18">
        <f>Table17[[#This Row],[UnitCost]]*Table17[[#This Row],[Quantity]]</f>
        <v>33000</v>
      </c>
    </row>
    <row r="21" spans="1:6" x14ac:dyDescent="0.2">
      <c r="A21" s="18" t="s">
        <v>459</v>
      </c>
      <c r="B21" s="18" t="s">
        <v>436</v>
      </c>
      <c r="C21" s="18" t="s">
        <v>378</v>
      </c>
      <c r="D21" s="18">
        <v>90</v>
      </c>
      <c r="E21" s="18">
        <v>260</v>
      </c>
      <c r="F21" s="18">
        <f>Table17[[#This Row],[UnitCost]]*Table17[[#This Row],[Quantity]]</f>
        <v>23400</v>
      </c>
    </row>
    <row r="22" spans="1:6" x14ac:dyDescent="0.2">
      <c r="A22" s="18" t="s">
        <v>460</v>
      </c>
      <c r="B22" s="18" t="s">
        <v>438</v>
      </c>
      <c r="C22" s="18" t="s">
        <v>374</v>
      </c>
      <c r="D22" s="18">
        <v>80</v>
      </c>
      <c r="E22" s="18">
        <v>210</v>
      </c>
      <c r="F22" s="18">
        <f>Table17[[#This Row],[UnitCost]]*Table17[[#This Row],[Quantity]]</f>
        <v>16800</v>
      </c>
    </row>
    <row r="23" spans="1:6" x14ac:dyDescent="0.2">
      <c r="A23" s="18" t="s">
        <v>461</v>
      </c>
      <c r="B23" s="18" t="s">
        <v>440</v>
      </c>
      <c r="C23" s="18" t="s">
        <v>378</v>
      </c>
      <c r="D23" s="18">
        <v>70</v>
      </c>
      <c r="E23" s="18">
        <v>160</v>
      </c>
      <c r="F23" s="18">
        <f>Table17[[#This Row],[UnitCost]]*Table17[[#This Row],[Quantity]]</f>
        <v>11200</v>
      </c>
    </row>
    <row r="24" spans="1:6" x14ac:dyDescent="0.2">
      <c r="A24" s="18" t="s">
        <v>462</v>
      </c>
      <c r="B24" s="18" t="s">
        <v>442</v>
      </c>
      <c r="C24" s="18" t="s">
        <v>374</v>
      </c>
      <c r="D24" s="18">
        <v>35</v>
      </c>
      <c r="E24" s="18">
        <v>3600</v>
      </c>
      <c r="F24" s="18">
        <f>Table17[[#This Row],[UnitCost]]*Table17[[#This Row],[Quantity]]</f>
        <v>126000</v>
      </c>
    </row>
    <row r="25" spans="1:6" x14ac:dyDescent="0.2">
      <c r="A25" s="18" t="s">
        <v>463</v>
      </c>
      <c r="B25" s="18" t="s">
        <v>444</v>
      </c>
      <c r="C25" s="18" t="s">
        <v>378</v>
      </c>
      <c r="D25" s="18">
        <v>40</v>
      </c>
      <c r="E25" s="18">
        <v>820</v>
      </c>
      <c r="F25" s="18">
        <f>Table17[[#This Row],[UnitCost]]*Table17[[#This Row],[Quantity]]</f>
        <v>32800</v>
      </c>
    </row>
    <row r="26" spans="1:6" x14ac:dyDescent="0.2">
      <c r="A26" s="18" t="s">
        <v>464</v>
      </c>
      <c r="B26" s="18" t="s">
        <v>446</v>
      </c>
      <c r="C26" s="18" t="s">
        <v>267</v>
      </c>
      <c r="D26" s="18">
        <v>600</v>
      </c>
      <c r="E26" s="18">
        <v>105</v>
      </c>
      <c r="F26" s="18">
        <f>Table17[[#This Row],[UnitCost]]*Table17[[#This Row],[Quantity]]</f>
        <v>63000</v>
      </c>
    </row>
    <row r="27" spans="1:6" x14ac:dyDescent="0.2">
      <c r="A27" s="18" t="s">
        <v>465</v>
      </c>
      <c r="B27" s="18" t="s">
        <v>448</v>
      </c>
      <c r="C27" s="18" t="s">
        <v>378</v>
      </c>
      <c r="D27" s="18">
        <v>130</v>
      </c>
      <c r="E27" s="18">
        <v>290</v>
      </c>
      <c r="F27" s="18">
        <f>Table17[[#This Row],[UnitCost]]*Table17[[#This Row],[Quantity]]</f>
        <v>37700</v>
      </c>
    </row>
    <row r="28" spans="1:6" x14ac:dyDescent="0.2">
      <c r="A28" s="18" t="s">
        <v>466</v>
      </c>
      <c r="B28" s="18" t="s">
        <v>450</v>
      </c>
      <c r="C28" s="18" t="s">
        <v>378</v>
      </c>
      <c r="D28" s="18">
        <v>95</v>
      </c>
      <c r="E28" s="18">
        <v>185</v>
      </c>
      <c r="F28" s="18">
        <f>Table17[[#This Row],[UnitCost]]*Table17[[#This Row],[Quantity]]</f>
        <v>17575</v>
      </c>
    </row>
    <row r="29" spans="1:6" x14ac:dyDescent="0.2">
      <c r="A29" s="18" t="s">
        <v>467</v>
      </c>
      <c r="B29" s="18" t="s">
        <v>452</v>
      </c>
      <c r="C29" s="18" t="s">
        <v>374</v>
      </c>
      <c r="D29" s="18">
        <v>65</v>
      </c>
      <c r="E29" s="18">
        <v>410</v>
      </c>
      <c r="F29" s="18">
        <f>Table17[[#This Row],[UnitCost]]*Table17[[#This Row],[Quantity]]</f>
        <v>26650</v>
      </c>
    </row>
    <row r="30" spans="1:6" x14ac:dyDescent="0.2">
      <c r="A30" s="18" t="s">
        <v>468</v>
      </c>
      <c r="B30" s="18" t="s">
        <v>454</v>
      </c>
      <c r="C30" s="18" t="s">
        <v>378</v>
      </c>
      <c r="D30" s="18">
        <v>75</v>
      </c>
      <c r="E30" s="18">
        <v>360</v>
      </c>
      <c r="F30" s="18">
        <f>Table17[[#This Row],[UnitCost]]*Table17[[#This Row],[Quantity]]</f>
        <v>27000</v>
      </c>
    </row>
    <row r="31" spans="1:6" x14ac:dyDescent="0.2">
      <c r="A31" s="18" t="s">
        <v>469</v>
      </c>
      <c r="B31" s="18" t="s">
        <v>426</v>
      </c>
      <c r="C31" s="18" t="s">
        <v>267</v>
      </c>
      <c r="D31" s="18">
        <v>900</v>
      </c>
      <c r="E31" s="18">
        <v>118</v>
      </c>
      <c r="F31" s="18">
        <f>Table17[[#This Row],[UnitCost]]*Table17[[#This Row],[Quantity]]</f>
        <v>106200</v>
      </c>
    </row>
    <row r="32" spans="1:6" x14ac:dyDescent="0.2">
      <c r="A32" s="18" t="s">
        <v>470</v>
      </c>
      <c r="B32" s="18" t="s">
        <v>434</v>
      </c>
      <c r="C32" s="18" t="s">
        <v>374</v>
      </c>
      <c r="D32" s="18">
        <v>30</v>
      </c>
      <c r="E32" s="18">
        <v>4300</v>
      </c>
      <c r="F32" s="18">
        <f>Table17[[#This Row],[UnitCost]]*Table17[[#This Row],[Quantity]]</f>
        <v>129000</v>
      </c>
    </row>
    <row r="33" spans="1:6" x14ac:dyDescent="0.2">
      <c r="A33" s="18" t="s">
        <v>471</v>
      </c>
      <c r="B33" s="18" t="s">
        <v>430</v>
      </c>
      <c r="C33" s="18" t="s">
        <v>378</v>
      </c>
      <c r="D33" s="18">
        <v>180</v>
      </c>
      <c r="E33" s="18">
        <v>315</v>
      </c>
      <c r="F33" s="18">
        <f>Table17[[#This Row],[UnitCost]]*Table17[[#This Row],[Quantity]]</f>
        <v>56700</v>
      </c>
    </row>
    <row r="34" spans="1:6" x14ac:dyDescent="0.2">
      <c r="A34" s="18" t="s">
        <v>472</v>
      </c>
      <c r="B34" s="18" t="s">
        <v>432</v>
      </c>
      <c r="C34" s="18" t="s">
        <v>378</v>
      </c>
      <c r="D34" s="18">
        <v>550</v>
      </c>
      <c r="E34" s="18">
        <v>52</v>
      </c>
      <c r="F34" s="18">
        <f>Table17[[#This Row],[UnitCost]]*Table17[[#This Row],[Quantity]]</f>
        <v>28600</v>
      </c>
    </row>
    <row r="35" spans="1:6" x14ac:dyDescent="0.2">
      <c r="A35" s="18" t="s">
        <v>473</v>
      </c>
      <c r="B35" s="18" t="s">
        <v>436</v>
      </c>
      <c r="C35" s="18" t="s">
        <v>378</v>
      </c>
      <c r="D35" s="18">
        <v>110</v>
      </c>
      <c r="E35" s="18">
        <v>255</v>
      </c>
      <c r="F35" s="18">
        <f>Table17[[#This Row],[UnitCost]]*Table17[[#This Row],[Quantity]]</f>
        <v>28050</v>
      </c>
    </row>
    <row r="36" spans="1:6" x14ac:dyDescent="0.2">
      <c r="A36" s="18" t="s">
        <v>474</v>
      </c>
      <c r="B36" s="18" t="s">
        <v>438</v>
      </c>
      <c r="C36" s="18" t="s">
        <v>374</v>
      </c>
      <c r="D36" s="18">
        <v>85</v>
      </c>
      <c r="E36" s="18">
        <v>205</v>
      </c>
      <c r="F36" s="18">
        <f>Table17[[#This Row],[UnitCost]]*Table17[[#This Row],[Quantity]]</f>
        <v>17425</v>
      </c>
    </row>
    <row r="37" spans="1:6" x14ac:dyDescent="0.2">
      <c r="A37" s="18" t="s">
        <v>475</v>
      </c>
      <c r="B37" s="18" t="s">
        <v>440</v>
      </c>
      <c r="C37" s="18" t="s">
        <v>378</v>
      </c>
      <c r="D37" s="18">
        <v>75</v>
      </c>
      <c r="E37" s="18">
        <v>155</v>
      </c>
      <c r="F37" s="18">
        <f>Table17[[#This Row],[UnitCost]]*Table17[[#This Row],[Quantity]]</f>
        <v>11625</v>
      </c>
    </row>
    <row r="38" spans="1:6" x14ac:dyDescent="0.2">
      <c r="A38" s="18" t="s">
        <v>476</v>
      </c>
      <c r="B38" s="18" t="s">
        <v>442</v>
      </c>
      <c r="C38" s="18" t="s">
        <v>374</v>
      </c>
      <c r="D38" s="18">
        <v>45</v>
      </c>
      <c r="E38" s="18">
        <v>3400</v>
      </c>
      <c r="F38" s="18">
        <f>Table17[[#This Row],[UnitCost]]*Table17[[#This Row],[Quantity]]</f>
        <v>153000</v>
      </c>
    </row>
    <row r="39" spans="1:6" x14ac:dyDescent="0.2">
      <c r="A39" s="18" t="s">
        <v>477</v>
      </c>
      <c r="B39" s="18" t="s">
        <v>444</v>
      </c>
      <c r="C39" s="18" t="s">
        <v>378</v>
      </c>
      <c r="D39" s="18">
        <v>35</v>
      </c>
      <c r="E39" s="18">
        <v>810</v>
      </c>
      <c r="F39" s="18">
        <f>Table17[[#This Row],[UnitCost]]*Table17[[#This Row],[Quantity]]</f>
        <v>28350</v>
      </c>
    </row>
    <row r="40" spans="1:6" x14ac:dyDescent="0.2">
      <c r="A40" s="18" t="s">
        <v>478</v>
      </c>
      <c r="B40" s="18" t="s">
        <v>446</v>
      </c>
      <c r="C40" s="18" t="s">
        <v>267</v>
      </c>
      <c r="D40" s="18">
        <v>550</v>
      </c>
      <c r="E40" s="18">
        <v>110</v>
      </c>
      <c r="F40" s="18">
        <f>Table17[[#This Row],[UnitCost]]*Table17[[#This Row],[Quantity]]</f>
        <v>60500</v>
      </c>
    </row>
    <row r="41" spans="1:6" x14ac:dyDescent="0.2">
      <c r="A41" s="18" t="s">
        <v>479</v>
      </c>
      <c r="B41" s="18" t="s">
        <v>448</v>
      </c>
      <c r="C41" s="18" t="s">
        <v>378</v>
      </c>
      <c r="D41" s="18">
        <v>140</v>
      </c>
      <c r="E41" s="18">
        <v>295</v>
      </c>
      <c r="F41" s="18">
        <f>Table17[[#This Row],[UnitCost]]*Table17[[#This Row],[Quantity]]</f>
        <v>41300</v>
      </c>
    </row>
    <row r="42" spans="1:6" x14ac:dyDescent="0.2">
      <c r="A42" s="18" t="s">
        <v>480</v>
      </c>
      <c r="B42" s="18" t="s">
        <v>450</v>
      </c>
      <c r="C42" s="18" t="s">
        <v>378</v>
      </c>
      <c r="D42" s="18">
        <v>100</v>
      </c>
      <c r="E42" s="18">
        <v>190</v>
      </c>
      <c r="F42" s="18">
        <f>Table17[[#This Row],[UnitCost]]*Table17[[#This Row],[Quantity]]</f>
        <v>19000</v>
      </c>
    </row>
    <row r="43" spans="1:6" x14ac:dyDescent="0.2">
      <c r="A43" s="18" t="s">
        <v>481</v>
      </c>
      <c r="B43" s="18" t="s">
        <v>452</v>
      </c>
      <c r="C43" s="18" t="s">
        <v>374</v>
      </c>
      <c r="D43" s="18">
        <v>70</v>
      </c>
      <c r="E43" s="18">
        <v>420</v>
      </c>
      <c r="F43" s="18">
        <f>Table17[[#This Row],[UnitCost]]*Table17[[#This Row],[Quantity]]</f>
        <v>29400</v>
      </c>
    </row>
    <row r="44" spans="1:6" x14ac:dyDescent="0.2">
      <c r="A44" s="18" t="s">
        <v>482</v>
      </c>
      <c r="B44" s="18" t="s">
        <v>454</v>
      </c>
      <c r="C44" s="18" t="s">
        <v>378</v>
      </c>
      <c r="D44" s="18">
        <v>80</v>
      </c>
      <c r="E44" s="18">
        <v>370</v>
      </c>
      <c r="F44" s="18">
        <f>Table17[[#This Row],[UnitCost]]*Table17[[#This Row],[Quantity]]</f>
        <v>29600</v>
      </c>
    </row>
    <row r="45" spans="1:6" x14ac:dyDescent="0.2">
      <c r="A45" s="18" t="s">
        <v>483</v>
      </c>
      <c r="B45" s="18" t="s">
        <v>426</v>
      </c>
      <c r="C45" s="18" t="s">
        <v>267</v>
      </c>
      <c r="D45" s="18">
        <v>950</v>
      </c>
      <c r="E45" s="18">
        <v>122</v>
      </c>
      <c r="F45" s="18">
        <f>Table17[[#This Row],[UnitCost]]*Table17[[#This Row],[Quantity]]</f>
        <v>115900</v>
      </c>
    </row>
    <row r="46" spans="1:6" x14ac:dyDescent="0.2">
      <c r="A46" s="18" t="s">
        <v>484</v>
      </c>
      <c r="B46" s="18" t="s">
        <v>434</v>
      </c>
      <c r="C46" s="18" t="s">
        <v>374</v>
      </c>
      <c r="D46" s="18">
        <v>28</v>
      </c>
      <c r="E46" s="18">
        <v>4400</v>
      </c>
      <c r="F46" s="18">
        <f>Table17[[#This Row],[UnitCost]]*Table17[[#This Row],[Quantity]]</f>
        <v>123200</v>
      </c>
    </row>
    <row r="47" spans="1:6" x14ac:dyDescent="0.2">
      <c r="A47" s="18" t="s">
        <v>485</v>
      </c>
      <c r="B47" s="18" t="s">
        <v>430</v>
      </c>
      <c r="C47" s="18" t="s">
        <v>378</v>
      </c>
      <c r="D47" s="18">
        <v>160</v>
      </c>
      <c r="E47" s="18">
        <v>320</v>
      </c>
      <c r="F47" s="18">
        <f>Table17[[#This Row],[UnitCost]]*Table17[[#This Row],[Quantity]]</f>
        <v>51200</v>
      </c>
    </row>
    <row r="48" spans="1:6" x14ac:dyDescent="0.2">
      <c r="A48" s="18" t="s">
        <v>486</v>
      </c>
      <c r="B48" s="18" t="s">
        <v>432</v>
      </c>
      <c r="C48" s="18" t="s">
        <v>378</v>
      </c>
      <c r="D48" s="18">
        <v>580</v>
      </c>
      <c r="E48" s="18">
        <v>54</v>
      </c>
      <c r="F48" s="18">
        <f>Table17[[#This Row],[UnitCost]]*Table17[[#This Row],[Quantity]]</f>
        <v>31320</v>
      </c>
    </row>
    <row r="49" spans="1:6" x14ac:dyDescent="0.2">
      <c r="A49" s="18" t="s">
        <v>487</v>
      </c>
      <c r="B49" s="18" t="s">
        <v>436</v>
      </c>
      <c r="C49" s="18" t="s">
        <v>378</v>
      </c>
      <c r="D49" s="18">
        <v>95</v>
      </c>
      <c r="E49" s="18">
        <v>270</v>
      </c>
      <c r="F49" s="18">
        <f>Table17[[#This Row],[UnitCost]]*Table17[[#This Row],[Quantity]]</f>
        <v>25650</v>
      </c>
    </row>
    <row r="50" spans="1:6" x14ac:dyDescent="0.2">
      <c r="A50" s="18" t="s">
        <v>488</v>
      </c>
      <c r="B50" s="18" t="s">
        <v>438</v>
      </c>
      <c r="C50" s="18" t="s">
        <v>374</v>
      </c>
      <c r="D50" s="18">
        <v>70</v>
      </c>
      <c r="E50" s="18">
        <v>215</v>
      </c>
      <c r="F50" s="18">
        <f>Table17[[#This Row],[UnitCost]]*Table17[[#This Row],[Quantity]]</f>
        <v>15050</v>
      </c>
    </row>
    <row r="51" spans="1:6" x14ac:dyDescent="0.2">
      <c r="A51" s="18" t="s">
        <v>489</v>
      </c>
      <c r="B51" s="18" t="s">
        <v>440</v>
      </c>
      <c r="C51" s="18" t="s">
        <v>378</v>
      </c>
      <c r="D51" s="18">
        <v>65</v>
      </c>
      <c r="E51" s="18">
        <v>165</v>
      </c>
      <c r="F51" s="18">
        <f>Table17[[#This Row],[UnitCost]]*Table17[[#This Row],[Quantity]]</f>
        <v>10725</v>
      </c>
    </row>
    <row r="52" spans="1:6" x14ac:dyDescent="0.2">
      <c r="F52">
        <f>Table17[[#This Row],[Quantity]]*Table17[[#This Row],[UnitCost]]</f>
        <v>0</v>
      </c>
    </row>
    <row r="53" spans="1:6" x14ac:dyDescent="0.2">
      <c r="F53">
        <f>Table17[[#This Row],[Quantity]]*Table17[[#This Row],[UnitCost]]</f>
        <v>0</v>
      </c>
    </row>
    <row r="54" spans="1:6" x14ac:dyDescent="0.2">
      <c r="F54">
        <f>Table17[[#This Row],[Quantity]]*Table17[[#This Row],[UnitCost]]</f>
        <v>0</v>
      </c>
    </row>
    <row r="55" spans="1:6" x14ac:dyDescent="0.2">
      <c r="F55">
        <f>Table17[[#This Row],[Quantity]]*Table17[[#This Row],[UnitCost]]</f>
        <v>0</v>
      </c>
    </row>
    <row r="56" spans="1:6" x14ac:dyDescent="0.2">
      <c r="F56">
        <f>Table17[[#This Row],[Quantity]]*Table17[[#This Row],[UnitCost]]</f>
        <v>0</v>
      </c>
    </row>
    <row r="57" spans="1:6" x14ac:dyDescent="0.2">
      <c r="F57">
        <f>Table17[[#This Row],[Quantity]]*Table17[[#This Row],[UnitCost]]</f>
        <v>0</v>
      </c>
    </row>
    <row r="58" spans="1:6" x14ac:dyDescent="0.2">
      <c r="F58">
        <f>Table17[[#This Row],[Quantity]]*Table17[[#This Row],[UnitCost]]</f>
        <v>0</v>
      </c>
    </row>
    <row r="59" spans="1:6" x14ac:dyDescent="0.2">
      <c r="F59">
        <f>Table17[[#This Row],[Quantity]]*Table17[[#This Row],[UnitCost]]</f>
        <v>0</v>
      </c>
    </row>
    <row r="60" spans="1:6" x14ac:dyDescent="0.2">
      <c r="F60">
        <f>Table17[[#This Row],[Quantity]]*Table17[[#This Row],[UnitCost]]</f>
        <v>0</v>
      </c>
    </row>
    <row r="61" spans="1:6" x14ac:dyDescent="0.2">
      <c r="F61">
        <f>Table17[[#This Row],[Quantity]]*Table17[[#This Row],[UnitCost]]</f>
        <v>0</v>
      </c>
    </row>
    <row r="62" spans="1:6" x14ac:dyDescent="0.2">
      <c r="F62">
        <f>Table17[[#This Row],[Quantity]]*Table17[[#This Row],[UnitCost]]</f>
        <v>0</v>
      </c>
    </row>
    <row r="63" spans="1:6" x14ac:dyDescent="0.2">
      <c r="F63">
        <f>Table17[[#This Row],[Quantity]]*Table17[[#This Row],[UnitCost]]</f>
        <v>0</v>
      </c>
    </row>
    <row r="64" spans="1:6" x14ac:dyDescent="0.2">
      <c r="F64">
        <f>Table17[[#This Row],[Quantity]]*Table17[[#This Row],[UnitCost]]</f>
        <v>0</v>
      </c>
    </row>
    <row r="65" spans="6:6" x14ac:dyDescent="0.2">
      <c r="F65">
        <f>Table17[[#This Row],[Quantity]]*Table17[[#This Row],[UnitCost]]</f>
        <v>0</v>
      </c>
    </row>
    <row r="66" spans="6:6" x14ac:dyDescent="0.2">
      <c r="F66">
        <f>Table17[[#This Row],[Quantity]]*Table17[[#This Row],[UnitCost]]</f>
        <v>0</v>
      </c>
    </row>
    <row r="67" spans="6:6" x14ac:dyDescent="0.2">
      <c r="F67">
        <f>Table17[[#This Row],[Quantity]]*Table17[[#This Row],[UnitCost]]</f>
        <v>0</v>
      </c>
    </row>
    <row r="68" spans="6:6" x14ac:dyDescent="0.2">
      <c r="F68">
        <f>Table17[[#This Row],[Quantity]]*Table17[[#This Row],[UnitCost]]</f>
        <v>0</v>
      </c>
    </row>
    <row r="69" spans="6:6" x14ac:dyDescent="0.2">
      <c r="F69">
        <f>Table17[[#This Row],[Quantity]]*Table17[[#This Row],[UnitCost]]</f>
        <v>0</v>
      </c>
    </row>
    <row r="70" spans="6:6" x14ac:dyDescent="0.2">
      <c r="F70">
        <f>Table17[[#This Row],[Quantity]]*Table17[[#This Row],[UnitCost]]</f>
        <v>0</v>
      </c>
    </row>
    <row r="71" spans="6:6" x14ac:dyDescent="0.2">
      <c r="F71">
        <f>Table17[[#This Row],[Quantity]]*Table17[[#This Row],[UnitCost]]</f>
        <v>0</v>
      </c>
    </row>
    <row r="72" spans="6:6" x14ac:dyDescent="0.2">
      <c r="F72">
        <f>Table17[[#This Row],[Quantity]]*Table17[[#This Row],[UnitCost]]</f>
        <v>0</v>
      </c>
    </row>
    <row r="73" spans="6:6" x14ac:dyDescent="0.2">
      <c r="F73">
        <f>Table17[[#This Row],[Quantity]]*Table17[[#This Row],[UnitCost]]</f>
        <v>0</v>
      </c>
    </row>
    <row r="74" spans="6:6" x14ac:dyDescent="0.2">
      <c r="F74">
        <f>Table17[[#This Row],[Quantity]]*Table17[[#This Row],[UnitCost]]</f>
        <v>0</v>
      </c>
    </row>
    <row r="75" spans="6:6" x14ac:dyDescent="0.2">
      <c r="F75">
        <f>Table17[[#This Row],[Quantity]]*Table17[[#This Row],[UnitCost]]</f>
        <v>0</v>
      </c>
    </row>
    <row r="76" spans="6:6" x14ac:dyDescent="0.2">
      <c r="F76">
        <f>Table17[[#This Row],[Quantity]]*Table17[[#This Row],[UnitCost]]</f>
        <v>0</v>
      </c>
    </row>
    <row r="77" spans="6:6" x14ac:dyDescent="0.2">
      <c r="F77">
        <f>Table17[[#This Row],[Quantity]]*Table17[[#This Row],[UnitCost]]</f>
        <v>0</v>
      </c>
    </row>
    <row r="78" spans="6:6" x14ac:dyDescent="0.2">
      <c r="F78">
        <f>Table17[[#This Row],[Quantity]]*Table17[[#This Row],[UnitCost]]</f>
        <v>0</v>
      </c>
    </row>
    <row r="79" spans="6:6" x14ac:dyDescent="0.2">
      <c r="F79">
        <f>Table17[[#This Row],[Quantity]]*Table17[[#This Row],[UnitCost]]</f>
        <v>0</v>
      </c>
    </row>
    <row r="80" spans="6:6" x14ac:dyDescent="0.2">
      <c r="F80">
        <f>Table17[[#This Row],[Quantity]]*Table17[[#This Row],[UnitCost]]</f>
        <v>0</v>
      </c>
    </row>
    <row r="81" spans="6:6" x14ac:dyDescent="0.2">
      <c r="F81">
        <f>Table17[[#This Row],[Quantity]]*Table17[[#This Row],[UnitCost]]</f>
        <v>0</v>
      </c>
    </row>
    <row r="82" spans="6:6" x14ac:dyDescent="0.2">
      <c r="F82">
        <f>Table17[[#This Row],[Quantity]]*Table17[[#This Row],[UnitCost]]</f>
        <v>0</v>
      </c>
    </row>
    <row r="83" spans="6:6" x14ac:dyDescent="0.2">
      <c r="F83">
        <f>Table17[[#This Row],[Quantity]]*Table17[[#This Row],[UnitCost]]</f>
        <v>0</v>
      </c>
    </row>
    <row r="84" spans="6:6" x14ac:dyDescent="0.2">
      <c r="F84">
        <f>Table17[[#This Row],[Quantity]]*Table17[[#This Row],[UnitCost]]</f>
        <v>0</v>
      </c>
    </row>
    <row r="85" spans="6:6" x14ac:dyDescent="0.2">
      <c r="F85">
        <f>Table17[[#This Row],[Quantity]]*Table17[[#This Row],[UnitCost]]</f>
        <v>0</v>
      </c>
    </row>
    <row r="86" spans="6:6" x14ac:dyDescent="0.2">
      <c r="F86">
        <f>Table17[[#This Row],[Quantity]]*Table17[[#This Row],[UnitCost]]</f>
        <v>0</v>
      </c>
    </row>
    <row r="87" spans="6:6" x14ac:dyDescent="0.2">
      <c r="F87">
        <f>Table17[[#This Row],[Quantity]]*Table17[[#This Row],[UnitCost]]</f>
        <v>0</v>
      </c>
    </row>
    <row r="88" spans="6:6" x14ac:dyDescent="0.2">
      <c r="F88">
        <f>Table17[[#This Row],[Quantity]]*Table17[[#This Row],[UnitCost]]</f>
        <v>0</v>
      </c>
    </row>
    <row r="89" spans="6:6" x14ac:dyDescent="0.2">
      <c r="F89">
        <f>Table17[[#This Row],[Quantity]]*Table17[[#This Row],[UnitCost]]</f>
        <v>0</v>
      </c>
    </row>
    <row r="90" spans="6:6" x14ac:dyDescent="0.2">
      <c r="F90">
        <f>Table17[[#This Row],[Quantity]]*Table17[[#This Row],[UnitCost]]</f>
        <v>0</v>
      </c>
    </row>
    <row r="91" spans="6:6" x14ac:dyDescent="0.2">
      <c r="F91">
        <f>Table17[[#This Row],[Quantity]]*Table17[[#This Row],[UnitCost]]</f>
        <v>0</v>
      </c>
    </row>
    <row r="92" spans="6:6" x14ac:dyDescent="0.2">
      <c r="F92">
        <f>Table17[[#This Row],[Quantity]]*Table17[[#This Row],[UnitCost]]</f>
        <v>0</v>
      </c>
    </row>
    <row r="93" spans="6:6" x14ac:dyDescent="0.2">
      <c r="F93">
        <f>Table17[[#This Row],[Quantity]]*Table17[[#This Row],[UnitCost]]</f>
        <v>0</v>
      </c>
    </row>
    <row r="94" spans="6:6" x14ac:dyDescent="0.2">
      <c r="F94">
        <f>Table17[[#This Row],[Quantity]]*Table17[[#This Row],[UnitCost]]</f>
        <v>0</v>
      </c>
    </row>
    <row r="95" spans="6:6" x14ac:dyDescent="0.2">
      <c r="F95">
        <f>Table17[[#This Row],[Quantity]]*Table17[[#This Row],[UnitCost]]</f>
        <v>0</v>
      </c>
    </row>
    <row r="96" spans="6:6" x14ac:dyDescent="0.2">
      <c r="F96">
        <f>Table17[[#This Row],[Quantity]]*Table17[[#This Row],[UnitCost]]</f>
        <v>0</v>
      </c>
    </row>
    <row r="97" spans="6:6" x14ac:dyDescent="0.2">
      <c r="F97">
        <f>Table17[[#This Row],[Quantity]]*Table17[[#This Row],[UnitCost]]</f>
        <v>0</v>
      </c>
    </row>
    <row r="98" spans="6:6" x14ac:dyDescent="0.2">
      <c r="F98">
        <f>Table17[[#This Row],[Quantity]]*Table17[[#This Row],[UnitCost]]</f>
        <v>0</v>
      </c>
    </row>
    <row r="99" spans="6:6" x14ac:dyDescent="0.2">
      <c r="F99">
        <f>Table17[[#This Row],[Quantity]]*Table17[[#This Row],[UnitCost]]</f>
        <v>0</v>
      </c>
    </row>
    <row r="100" spans="6:6" x14ac:dyDescent="0.2">
      <c r="F100">
        <f>Table17[[#This Row],[Quantity]]*Table17[[#This Row],[UnitCost]]</f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6A70-3EA9-C042-9BF4-51F7B38BB506}">
  <dimension ref="A1:E11"/>
  <sheetViews>
    <sheetView workbookViewId="0">
      <pane ySplit="1" topLeftCell="A2" activePane="bottomLeft" state="frozen"/>
      <selection pane="bottomLeft" activeCell="G23" sqref="G23"/>
    </sheetView>
  </sheetViews>
  <sheetFormatPr baseColWidth="10" defaultRowHeight="16" x14ac:dyDescent="0.2"/>
  <cols>
    <col min="1" max="1" width="12" customWidth="1"/>
    <col min="2" max="2" width="10.83203125" style="4"/>
    <col min="3" max="3" width="11.1640625" style="4" bestFit="1" customWidth="1"/>
    <col min="4" max="4" width="26" customWidth="1"/>
    <col min="5" max="5" width="32.33203125" style="4" customWidth="1"/>
  </cols>
  <sheetData>
    <row r="1" spans="1:5" x14ac:dyDescent="0.2">
      <c r="A1" t="s">
        <v>53</v>
      </c>
      <c r="B1" s="4" t="s">
        <v>1</v>
      </c>
      <c r="C1" s="4" t="s">
        <v>40</v>
      </c>
      <c r="D1" t="s">
        <v>11</v>
      </c>
      <c r="E1" s="4" t="s">
        <v>12</v>
      </c>
    </row>
    <row r="2" spans="1:5" x14ac:dyDescent="0.2">
      <c r="A2" s="18" t="s">
        <v>371</v>
      </c>
      <c r="B2" s="18" t="s">
        <v>119</v>
      </c>
      <c r="C2" s="18" t="s">
        <v>267</v>
      </c>
      <c r="D2" s="18">
        <f>92-300-1112233</f>
        <v>-1112441</v>
      </c>
      <c r="E2" s="18" t="s">
        <v>120</v>
      </c>
    </row>
    <row r="3" spans="1:5" x14ac:dyDescent="0.2">
      <c r="A3" s="18" t="s">
        <v>372</v>
      </c>
      <c r="B3" s="18" t="s">
        <v>373</v>
      </c>
      <c r="C3" s="18" t="s">
        <v>374</v>
      </c>
      <c r="D3" s="18" t="s">
        <v>375</v>
      </c>
      <c r="E3" s="18" t="s">
        <v>123</v>
      </c>
    </row>
    <row r="4" spans="1:5" x14ac:dyDescent="0.2">
      <c r="A4" s="18" t="s">
        <v>376</v>
      </c>
      <c r="B4" s="18" t="s">
        <v>377</v>
      </c>
      <c r="C4" s="18" t="s">
        <v>378</v>
      </c>
      <c r="D4" s="18">
        <f>92-333-9876543</f>
        <v>-9876784</v>
      </c>
      <c r="E4" s="18" t="s">
        <v>345</v>
      </c>
    </row>
    <row r="5" spans="1:5" x14ac:dyDescent="0.2">
      <c r="A5" s="18" t="s">
        <v>379</v>
      </c>
      <c r="B5" s="18" t="s">
        <v>128</v>
      </c>
      <c r="C5" s="18" t="s">
        <v>374</v>
      </c>
      <c r="D5" s="18" t="s">
        <v>380</v>
      </c>
      <c r="E5" s="18" t="s">
        <v>348</v>
      </c>
    </row>
    <row r="6" spans="1:5" x14ac:dyDescent="0.2">
      <c r="A6" s="18" t="s">
        <v>381</v>
      </c>
      <c r="B6" s="18" t="s">
        <v>131</v>
      </c>
      <c r="C6" s="18" t="s">
        <v>382</v>
      </c>
      <c r="D6" s="18">
        <f>92-321-5556677</f>
        <v>-5556906</v>
      </c>
      <c r="E6" s="18" t="s">
        <v>352</v>
      </c>
    </row>
    <row r="7" spans="1:5" x14ac:dyDescent="0.2">
      <c r="A7" s="18" t="s">
        <v>383</v>
      </c>
      <c r="B7" s="18" t="s">
        <v>354</v>
      </c>
      <c r="C7" s="18" t="s">
        <v>378</v>
      </c>
      <c r="D7" s="18">
        <f>92-345-2223344</f>
        <v>-2223597</v>
      </c>
      <c r="E7" s="18" t="s">
        <v>356</v>
      </c>
    </row>
    <row r="8" spans="1:5" x14ac:dyDescent="0.2">
      <c r="A8" s="18" t="s">
        <v>384</v>
      </c>
      <c r="B8" s="18" t="s">
        <v>385</v>
      </c>
      <c r="C8" s="18" t="s">
        <v>374</v>
      </c>
      <c r="D8" s="18">
        <f>92-300-3334455</f>
        <v>-3334663</v>
      </c>
      <c r="E8" s="18" t="s">
        <v>367</v>
      </c>
    </row>
    <row r="9" spans="1:5" x14ac:dyDescent="0.2">
      <c r="A9" s="18" t="s">
        <v>386</v>
      </c>
      <c r="B9" s="18" t="s">
        <v>387</v>
      </c>
      <c r="C9" s="18" t="s">
        <v>378</v>
      </c>
      <c r="D9" s="18">
        <f>92-333-4445566</f>
        <v>-4445807</v>
      </c>
      <c r="E9" s="18" t="s">
        <v>370</v>
      </c>
    </row>
    <row r="10" spans="1:5" x14ac:dyDescent="0.2">
      <c r="A10" s="18" t="s">
        <v>388</v>
      </c>
      <c r="B10" s="18" t="s">
        <v>358</v>
      </c>
      <c r="C10" s="18" t="s">
        <v>267</v>
      </c>
      <c r="D10" s="18">
        <f>92-321-5556677</f>
        <v>-5556906</v>
      </c>
      <c r="E10" s="18" t="s">
        <v>360</v>
      </c>
    </row>
    <row r="11" spans="1:5" x14ac:dyDescent="0.2">
      <c r="A11" s="18" t="s">
        <v>389</v>
      </c>
      <c r="B11" s="18" t="s">
        <v>365</v>
      </c>
      <c r="C11" s="18" t="s">
        <v>374</v>
      </c>
      <c r="D11" s="18">
        <f>92-345-6667788</f>
        <v>-6668041</v>
      </c>
      <c r="E11" s="18" t="s">
        <v>363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5ABC-925A-E640-BF20-BB05862EEE68}">
  <dimension ref="A1:F11"/>
  <sheetViews>
    <sheetView workbookViewId="0">
      <pane ySplit="1" topLeftCell="A2" activePane="bottomLeft" state="frozen"/>
      <selection pane="bottomLeft" activeCell="H25" sqref="H25"/>
    </sheetView>
  </sheetViews>
  <sheetFormatPr baseColWidth="10" defaultRowHeight="16" x14ac:dyDescent="0.2"/>
  <cols>
    <col min="1" max="1" width="12" customWidth="1"/>
    <col min="2" max="4" width="10.83203125" style="4"/>
    <col min="5" max="5" width="40.6640625" customWidth="1"/>
    <col min="6" max="6" width="21.1640625" customWidth="1"/>
  </cols>
  <sheetData>
    <row r="1" spans="1:6" x14ac:dyDescent="0.2">
      <c r="A1" t="s">
        <v>54</v>
      </c>
      <c r="B1" s="4" t="s">
        <v>1</v>
      </c>
      <c r="C1" s="4" t="s">
        <v>6</v>
      </c>
      <c r="D1" s="4" t="s">
        <v>55</v>
      </c>
      <c r="E1" t="s">
        <v>56</v>
      </c>
      <c r="F1" t="s">
        <v>12</v>
      </c>
    </row>
    <row r="2" spans="1:6" x14ac:dyDescent="0.2">
      <c r="A2" s="18" t="s">
        <v>336</v>
      </c>
      <c r="B2" s="18" t="s">
        <v>337</v>
      </c>
      <c r="C2" s="18" t="s">
        <v>338</v>
      </c>
      <c r="D2" s="18">
        <f>92-300-1112233</f>
        <v>-1112441</v>
      </c>
      <c r="E2" s="18" t="s">
        <v>339</v>
      </c>
      <c r="F2" s="18" t="s">
        <v>120</v>
      </c>
    </row>
    <row r="3" spans="1:6" x14ac:dyDescent="0.2">
      <c r="A3" s="18" t="s">
        <v>340</v>
      </c>
      <c r="B3" s="18" t="s">
        <v>119</v>
      </c>
      <c r="C3" s="18" t="s">
        <v>341</v>
      </c>
      <c r="D3" s="18">
        <f>92-333-9876543</f>
        <v>-9876784</v>
      </c>
      <c r="E3" s="18" t="s">
        <v>342</v>
      </c>
      <c r="F3" s="18" t="s">
        <v>123</v>
      </c>
    </row>
    <row r="4" spans="1:6" x14ac:dyDescent="0.2">
      <c r="A4" s="18" t="s">
        <v>343</v>
      </c>
      <c r="B4" s="18" t="s">
        <v>189</v>
      </c>
      <c r="C4" s="18" t="s">
        <v>338</v>
      </c>
      <c r="D4" s="18">
        <f>92-321-5556677</f>
        <v>-5556906</v>
      </c>
      <c r="E4" s="18" t="s">
        <v>344</v>
      </c>
      <c r="F4" s="18" t="s">
        <v>345</v>
      </c>
    </row>
    <row r="5" spans="1:6" x14ac:dyDescent="0.2">
      <c r="A5" s="18" t="s">
        <v>346</v>
      </c>
      <c r="B5" s="18" t="s">
        <v>128</v>
      </c>
      <c r="C5" s="18" t="s">
        <v>341</v>
      </c>
      <c r="D5" s="18">
        <f>92-345-2223344</f>
        <v>-2223597</v>
      </c>
      <c r="E5" s="18" t="s">
        <v>347</v>
      </c>
      <c r="F5" s="18" t="s">
        <v>348</v>
      </c>
    </row>
    <row r="6" spans="1:6" x14ac:dyDescent="0.2">
      <c r="A6" s="18" t="s">
        <v>349</v>
      </c>
      <c r="B6" s="18" t="s">
        <v>131</v>
      </c>
      <c r="C6" s="18" t="s">
        <v>350</v>
      </c>
      <c r="D6" s="18">
        <f>92-310-4445566</f>
        <v>-4445784</v>
      </c>
      <c r="E6" s="18" t="s">
        <v>351</v>
      </c>
      <c r="F6" s="18" t="s">
        <v>352</v>
      </c>
    </row>
    <row r="7" spans="1:6" x14ac:dyDescent="0.2">
      <c r="A7" s="18" t="s">
        <v>353</v>
      </c>
      <c r="B7" s="18" t="s">
        <v>354</v>
      </c>
      <c r="C7" s="18" t="s">
        <v>341</v>
      </c>
      <c r="D7" s="18">
        <f>92-345-5556677</f>
        <v>-5556930</v>
      </c>
      <c r="E7" s="18" t="s">
        <v>355</v>
      </c>
      <c r="F7" s="18" t="s">
        <v>356</v>
      </c>
    </row>
    <row r="8" spans="1:6" x14ac:dyDescent="0.2">
      <c r="A8" s="18" t="s">
        <v>357</v>
      </c>
      <c r="B8" s="18" t="s">
        <v>358</v>
      </c>
      <c r="C8" s="18" t="s">
        <v>341</v>
      </c>
      <c r="D8" s="18">
        <f>92-300-6667788</f>
        <v>-6667996</v>
      </c>
      <c r="E8" s="18" t="s">
        <v>359</v>
      </c>
      <c r="F8" s="18" t="s">
        <v>360</v>
      </c>
    </row>
    <row r="9" spans="1:6" x14ac:dyDescent="0.2">
      <c r="A9" s="18" t="s">
        <v>361</v>
      </c>
      <c r="B9" s="18" t="s">
        <v>137</v>
      </c>
      <c r="C9" s="18" t="s">
        <v>338</v>
      </c>
      <c r="D9" s="18">
        <f>92-333-7778899</f>
        <v>-7779140</v>
      </c>
      <c r="E9" s="18" t="s">
        <v>362</v>
      </c>
      <c r="F9" s="18" t="s">
        <v>363</v>
      </c>
    </row>
    <row r="10" spans="1:6" x14ac:dyDescent="0.2">
      <c r="A10" s="18" t="s">
        <v>364</v>
      </c>
      <c r="B10" s="18" t="s">
        <v>365</v>
      </c>
      <c r="C10" s="18" t="s">
        <v>341</v>
      </c>
      <c r="D10" s="18">
        <f>92-321-8889900</f>
        <v>-8890129</v>
      </c>
      <c r="E10" s="18" t="s">
        <v>366</v>
      </c>
      <c r="F10" s="18" t="s">
        <v>367</v>
      </c>
    </row>
    <row r="11" spans="1:6" x14ac:dyDescent="0.2">
      <c r="A11" s="18" t="s">
        <v>368</v>
      </c>
      <c r="B11" s="18" t="s">
        <v>140</v>
      </c>
      <c r="C11" s="18" t="s">
        <v>338</v>
      </c>
      <c r="D11" s="18">
        <f>92-345-9991122</f>
        <v>-9991375</v>
      </c>
      <c r="E11" s="18" t="s">
        <v>369</v>
      </c>
      <c r="F11" s="18" t="s">
        <v>370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7CCC-EA84-454A-B650-F22217A87F92}">
  <dimension ref="A1:F100"/>
  <sheetViews>
    <sheetView zoomScale="200" workbookViewId="0">
      <pane ySplit="1" topLeftCell="A2" activePane="bottomLeft" state="frozen"/>
      <selection pane="bottomLeft" activeCell="E12" sqref="E12"/>
    </sheetView>
  </sheetViews>
  <sheetFormatPr baseColWidth="10" defaultRowHeight="16" x14ac:dyDescent="0.2"/>
  <cols>
    <col min="2" max="2" width="17.5" style="4" bestFit="1" customWidth="1"/>
    <col min="3" max="3" width="10.83203125" style="3"/>
    <col min="6" max="6" width="16.6640625" customWidth="1"/>
  </cols>
  <sheetData>
    <row r="1" spans="1:6" x14ac:dyDescent="0.2">
      <c r="A1" t="s">
        <v>57</v>
      </c>
      <c r="B1" s="4" t="s">
        <v>58</v>
      </c>
      <c r="C1" s="3" t="s">
        <v>59</v>
      </c>
      <c r="D1" t="s">
        <v>60</v>
      </c>
      <c r="E1" t="s">
        <v>61</v>
      </c>
      <c r="F1" t="s">
        <v>41</v>
      </c>
    </row>
    <row r="2" spans="1:6" x14ac:dyDescent="0.2">
      <c r="A2" s="18" t="s">
        <v>305</v>
      </c>
      <c r="B2" s="18" t="s">
        <v>306</v>
      </c>
      <c r="C2" s="20">
        <v>20</v>
      </c>
      <c r="D2" s="18">
        <v>18</v>
      </c>
      <c r="E2" s="18">
        <v>-2</v>
      </c>
      <c r="F2" s="18" t="s">
        <v>307</v>
      </c>
    </row>
    <row r="3" spans="1:6" x14ac:dyDescent="0.2">
      <c r="A3" s="18" t="s">
        <v>308</v>
      </c>
      <c r="B3" s="18" t="s">
        <v>309</v>
      </c>
      <c r="C3" s="20">
        <v>95</v>
      </c>
      <c r="D3" s="18">
        <v>92</v>
      </c>
      <c r="E3" s="18">
        <v>-3</v>
      </c>
      <c r="F3" s="18" t="s">
        <v>310</v>
      </c>
    </row>
    <row r="4" spans="1:6" x14ac:dyDescent="0.2">
      <c r="A4" s="18" t="s">
        <v>311</v>
      </c>
      <c r="B4" s="18" t="s">
        <v>312</v>
      </c>
      <c r="C4" s="20" t="s">
        <v>335</v>
      </c>
      <c r="D4" s="18">
        <v>8.5</v>
      </c>
      <c r="E4" s="18">
        <v>0.5</v>
      </c>
      <c r="F4" s="18" t="s">
        <v>313</v>
      </c>
    </row>
    <row r="5" spans="1:6" x14ac:dyDescent="0.2">
      <c r="A5" s="18" t="s">
        <v>314</v>
      </c>
      <c r="B5" s="18" t="s">
        <v>315</v>
      </c>
      <c r="C5" s="20">
        <v>90</v>
      </c>
      <c r="D5" s="18">
        <v>88</v>
      </c>
      <c r="E5" s="18">
        <v>-2</v>
      </c>
      <c r="F5" s="18" t="s">
        <v>316</v>
      </c>
    </row>
    <row r="6" spans="1:6" x14ac:dyDescent="0.2">
      <c r="A6" s="18" t="s">
        <v>317</v>
      </c>
      <c r="B6" s="18" t="s">
        <v>318</v>
      </c>
      <c r="C6" s="20">
        <v>15000</v>
      </c>
      <c r="D6" s="18">
        <v>16000</v>
      </c>
      <c r="E6" s="18">
        <v>1000</v>
      </c>
      <c r="F6" s="18" t="s">
        <v>319</v>
      </c>
    </row>
    <row r="7" spans="1:6" x14ac:dyDescent="0.2">
      <c r="A7" s="18" t="s">
        <v>320</v>
      </c>
      <c r="B7" s="18" t="s">
        <v>321</v>
      </c>
      <c r="C7" s="20">
        <v>85</v>
      </c>
      <c r="D7" s="18">
        <v>80</v>
      </c>
      <c r="E7" s="18">
        <v>-5</v>
      </c>
      <c r="F7" s="18" t="s">
        <v>322</v>
      </c>
    </row>
    <row r="8" spans="1:6" x14ac:dyDescent="0.2">
      <c r="A8" s="18" t="s">
        <v>323</v>
      </c>
      <c r="B8" s="18" t="s">
        <v>324</v>
      </c>
      <c r="C8" s="20">
        <v>100000</v>
      </c>
      <c r="D8" s="18">
        <v>95000</v>
      </c>
      <c r="E8" s="18">
        <v>-5000</v>
      </c>
      <c r="F8" s="18" t="s">
        <v>325</v>
      </c>
    </row>
    <row r="9" spans="1:6" x14ac:dyDescent="0.2">
      <c r="A9" s="18" t="s">
        <v>326</v>
      </c>
      <c r="B9" s="18" t="s">
        <v>327</v>
      </c>
      <c r="C9" s="20">
        <v>98</v>
      </c>
      <c r="D9" s="18">
        <v>96</v>
      </c>
      <c r="E9" s="18">
        <v>-2</v>
      </c>
      <c r="F9" s="18" t="s">
        <v>328</v>
      </c>
    </row>
    <row r="10" spans="1:6" x14ac:dyDescent="0.2">
      <c r="A10" s="18" t="s">
        <v>329</v>
      </c>
      <c r="B10" s="18" t="s">
        <v>330</v>
      </c>
      <c r="C10" s="20">
        <v>1</v>
      </c>
      <c r="D10" s="23">
        <v>0.94</v>
      </c>
      <c r="E10" s="18">
        <v>-6</v>
      </c>
      <c r="F10" s="18" t="s">
        <v>331</v>
      </c>
    </row>
    <row r="11" spans="1:6" x14ac:dyDescent="0.2">
      <c r="A11" s="18" t="s">
        <v>332</v>
      </c>
      <c r="B11" s="18" t="s">
        <v>333</v>
      </c>
      <c r="C11" s="20">
        <v>97</v>
      </c>
      <c r="D11" s="18">
        <v>95</v>
      </c>
      <c r="E11" s="18">
        <v>-2</v>
      </c>
      <c r="F11" s="18" t="s">
        <v>334</v>
      </c>
    </row>
    <row r="12" spans="1:6" x14ac:dyDescent="0.2">
      <c r="C12" s="3">
        <v>567</v>
      </c>
      <c r="D12">
        <v>444</v>
      </c>
      <c r="E12" s="17">
        <f>Table20[[#This Row],[Actual]]-Table20[[#This Row],[Target]]</f>
        <v>-123</v>
      </c>
    </row>
    <row r="13" spans="1:6" x14ac:dyDescent="0.2">
      <c r="E13" s="17">
        <f>Table20[[#This Row],[Actual]]-Table20[[#This Row],[Target]]</f>
        <v>0</v>
      </c>
    </row>
    <row r="14" spans="1:6" x14ac:dyDescent="0.2">
      <c r="E14" s="17">
        <f>Table20[[#This Row],[Actual]]-Table20[[#This Row],[Target]]</f>
        <v>0</v>
      </c>
    </row>
    <row r="15" spans="1:6" x14ac:dyDescent="0.2">
      <c r="E15" s="17">
        <f>Table20[[#This Row],[Actual]]-Table20[[#This Row],[Target]]</f>
        <v>0</v>
      </c>
    </row>
    <row r="16" spans="1:6" x14ac:dyDescent="0.2">
      <c r="E16" s="17">
        <f>Table20[[#This Row],[Actual]]-Table20[[#This Row],[Target]]</f>
        <v>0</v>
      </c>
    </row>
    <row r="17" spans="5:5" x14ac:dyDescent="0.2">
      <c r="E17" s="17">
        <f>Table20[[#This Row],[Actual]]-Table20[[#This Row],[Target]]</f>
        <v>0</v>
      </c>
    </row>
    <row r="18" spans="5:5" x14ac:dyDescent="0.2">
      <c r="E18" s="17">
        <f>Table20[[#This Row],[Actual]]-Table20[[#This Row],[Target]]</f>
        <v>0</v>
      </c>
    </row>
    <row r="19" spans="5:5" x14ac:dyDescent="0.2">
      <c r="E19" s="17">
        <f>Table20[[#This Row],[Actual]]-Table20[[#This Row],[Target]]</f>
        <v>0</v>
      </c>
    </row>
    <row r="20" spans="5:5" x14ac:dyDescent="0.2">
      <c r="E20" s="17">
        <f>Table20[[#This Row],[Actual]]-Table20[[#This Row],[Target]]</f>
        <v>0</v>
      </c>
    </row>
    <row r="21" spans="5:5" x14ac:dyDescent="0.2">
      <c r="E21" s="17">
        <f>Table20[[#This Row],[Actual]]-Table20[[#This Row],[Target]]</f>
        <v>0</v>
      </c>
    </row>
    <row r="22" spans="5:5" x14ac:dyDescent="0.2">
      <c r="E22" s="17">
        <f>Table20[[#This Row],[Actual]]-Table20[[#This Row],[Target]]</f>
        <v>0</v>
      </c>
    </row>
    <row r="23" spans="5:5" x14ac:dyDescent="0.2">
      <c r="E23" s="17">
        <f>Table20[[#This Row],[Actual]]-Table20[[#This Row],[Target]]</f>
        <v>0</v>
      </c>
    </row>
    <row r="24" spans="5:5" x14ac:dyDescent="0.2">
      <c r="E24" s="17">
        <f>Table20[[#This Row],[Actual]]-Table20[[#This Row],[Target]]</f>
        <v>0</v>
      </c>
    </row>
    <row r="25" spans="5:5" x14ac:dyDescent="0.2">
      <c r="E25" s="17">
        <f>Table20[[#This Row],[Actual]]-Table20[[#This Row],[Target]]</f>
        <v>0</v>
      </c>
    </row>
    <row r="26" spans="5:5" x14ac:dyDescent="0.2">
      <c r="E26" s="17">
        <f>Table20[[#This Row],[Actual]]-Table20[[#This Row],[Target]]</f>
        <v>0</v>
      </c>
    </row>
    <row r="27" spans="5:5" x14ac:dyDescent="0.2">
      <c r="E27" s="17">
        <f>Table20[[#This Row],[Actual]]-Table20[[#This Row],[Target]]</f>
        <v>0</v>
      </c>
    </row>
    <row r="28" spans="5:5" x14ac:dyDescent="0.2">
      <c r="E28" s="17">
        <f>Table20[[#This Row],[Actual]]-Table20[[#This Row],[Target]]</f>
        <v>0</v>
      </c>
    </row>
    <row r="29" spans="5:5" x14ac:dyDescent="0.2">
      <c r="E29" s="17">
        <f>Table20[[#This Row],[Actual]]-Table20[[#This Row],[Target]]</f>
        <v>0</v>
      </c>
    </row>
    <row r="30" spans="5:5" x14ac:dyDescent="0.2">
      <c r="E30" s="17">
        <f>Table20[[#This Row],[Actual]]-Table20[[#This Row],[Target]]</f>
        <v>0</v>
      </c>
    </row>
    <row r="31" spans="5:5" x14ac:dyDescent="0.2">
      <c r="E31" s="17">
        <f>Table20[[#This Row],[Actual]]-Table20[[#This Row],[Target]]</f>
        <v>0</v>
      </c>
    </row>
    <row r="32" spans="5:5" x14ac:dyDescent="0.2">
      <c r="E32" s="17">
        <f>Table20[[#This Row],[Actual]]-Table20[[#This Row],[Target]]</f>
        <v>0</v>
      </c>
    </row>
    <row r="33" spans="5:5" x14ac:dyDescent="0.2">
      <c r="E33" s="17">
        <f>Table20[[#This Row],[Actual]]-Table20[[#This Row],[Target]]</f>
        <v>0</v>
      </c>
    </row>
    <row r="34" spans="5:5" x14ac:dyDescent="0.2">
      <c r="E34" s="17">
        <f>Table20[[#This Row],[Actual]]-Table20[[#This Row],[Target]]</f>
        <v>0</v>
      </c>
    </row>
    <row r="35" spans="5:5" x14ac:dyDescent="0.2">
      <c r="E35" s="17">
        <f>Table20[[#This Row],[Actual]]-Table20[[#This Row],[Target]]</f>
        <v>0</v>
      </c>
    </row>
    <row r="36" spans="5:5" x14ac:dyDescent="0.2">
      <c r="E36" s="17">
        <f>Table20[[#This Row],[Actual]]-Table20[[#This Row],[Target]]</f>
        <v>0</v>
      </c>
    </row>
    <row r="37" spans="5:5" x14ac:dyDescent="0.2">
      <c r="E37" s="17">
        <f>Table20[[#This Row],[Actual]]-Table20[[#This Row],[Target]]</f>
        <v>0</v>
      </c>
    </row>
    <row r="38" spans="5:5" x14ac:dyDescent="0.2">
      <c r="E38" s="17">
        <f>Table20[[#This Row],[Actual]]-Table20[[#This Row],[Target]]</f>
        <v>0</v>
      </c>
    </row>
    <row r="39" spans="5:5" x14ac:dyDescent="0.2">
      <c r="E39" s="17">
        <f>Table20[[#This Row],[Actual]]-Table20[[#This Row],[Target]]</f>
        <v>0</v>
      </c>
    </row>
    <row r="40" spans="5:5" x14ac:dyDescent="0.2">
      <c r="E40" s="17">
        <f>Table20[[#This Row],[Actual]]-Table20[[#This Row],[Target]]</f>
        <v>0</v>
      </c>
    </row>
    <row r="41" spans="5:5" x14ac:dyDescent="0.2">
      <c r="E41" s="17">
        <f>Table20[[#This Row],[Actual]]-Table20[[#This Row],[Target]]</f>
        <v>0</v>
      </c>
    </row>
    <row r="42" spans="5:5" x14ac:dyDescent="0.2">
      <c r="E42" s="17">
        <f>Table20[[#This Row],[Actual]]-Table20[[#This Row],[Target]]</f>
        <v>0</v>
      </c>
    </row>
    <row r="43" spans="5:5" x14ac:dyDescent="0.2">
      <c r="E43" s="17">
        <f>Table20[[#This Row],[Actual]]-Table20[[#This Row],[Target]]</f>
        <v>0</v>
      </c>
    </row>
    <row r="44" spans="5:5" x14ac:dyDescent="0.2">
      <c r="E44" s="17">
        <f>Table20[[#This Row],[Actual]]-Table20[[#This Row],[Target]]</f>
        <v>0</v>
      </c>
    </row>
    <row r="45" spans="5:5" x14ac:dyDescent="0.2">
      <c r="E45" s="17">
        <f>Table20[[#This Row],[Actual]]-Table20[[#This Row],[Target]]</f>
        <v>0</v>
      </c>
    </row>
    <row r="46" spans="5:5" x14ac:dyDescent="0.2">
      <c r="E46" s="17">
        <f>Table20[[#This Row],[Actual]]-Table20[[#This Row],[Target]]</f>
        <v>0</v>
      </c>
    </row>
    <row r="47" spans="5:5" x14ac:dyDescent="0.2">
      <c r="E47" s="17">
        <f>Table20[[#This Row],[Actual]]-Table20[[#This Row],[Target]]</f>
        <v>0</v>
      </c>
    </row>
    <row r="48" spans="5:5" x14ac:dyDescent="0.2">
      <c r="E48" s="17">
        <f>Table20[[#This Row],[Actual]]-Table20[[#This Row],[Target]]</f>
        <v>0</v>
      </c>
    </row>
    <row r="49" spans="5:5" x14ac:dyDescent="0.2">
      <c r="E49" s="17">
        <f>Table20[[#This Row],[Actual]]-Table20[[#This Row],[Target]]</f>
        <v>0</v>
      </c>
    </row>
    <row r="50" spans="5:5" x14ac:dyDescent="0.2">
      <c r="E50" s="17">
        <f>Table20[[#This Row],[Actual]]-Table20[[#This Row],[Target]]</f>
        <v>0</v>
      </c>
    </row>
    <row r="51" spans="5:5" x14ac:dyDescent="0.2">
      <c r="E51" s="17">
        <f>Table20[[#This Row],[Actual]]-Table20[[#This Row],[Target]]</f>
        <v>0</v>
      </c>
    </row>
    <row r="52" spans="5:5" x14ac:dyDescent="0.2">
      <c r="E52" s="17">
        <f>Table20[[#This Row],[Actual]]-Table20[[#This Row],[Target]]</f>
        <v>0</v>
      </c>
    </row>
    <row r="53" spans="5:5" x14ac:dyDescent="0.2">
      <c r="E53" s="17">
        <f>Table20[[#This Row],[Actual]]-Table20[[#This Row],[Target]]</f>
        <v>0</v>
      </c>
    </row>
    <row r="54" spans="5:5" x14ac:dyDescent="0.2">
      <c r="E54" s="17">
        <f>Table20[[#This Row],[Actual]]-Table20[[#This Row],[Target]]</f>
        <v>0</v>
      </c>
    </row>
    <row r="55" spans="5:5" x14ac:dyDescent="0.2">
      <c r="E55" s="17">
        <f>Table20[[#This Row],[Actual]]-Table20[[#This Row],[Target]]</f>
        <v>0</v>
      </c>
    </row>
    <row r="56" spans="5:5" x14ac:dyDescent="0.2">
      <c r="E56" s="17">
        <f>Table20[[#This Row],[Actual]]-Table20[[#This Row],[Target]]</f>
        <v>0</v>
      </c>
    </row>
    <row r="57" spans="5:5" x14ac:dyDescent="0.2">
      <c r="E57" s="17">
        <f>Table20[[#This Row],[Actual]]-Table20[[#This Row],[Target]]</f>
        <v>0</v>
      </c>
    </row>
    <row r="58" spans="5:5" x14ac:dyDescent="0.2">
      <c r="E58" s="17">
        <f>Table20[[#This Row],[Actual]]-Table20[[#This Row],[Target]]</f>
        <v>0</v>
      </c>
    </row>
    <row r="59" spans="5:5" x14ac:dyDescent="0.2">
      <c r="E59" s="17">
        <f>Table20[[#This Row],[Actual]]-Table20[[#This Row],[Target]]</f>
        <v>0</v>
      </c>
    </row>
    <row r="60" spans="5:5" x14ac:dyDescent="0.2">
      <c r="E60" s="17">
        <f>Table20[[#This Row],[Actual]]-Table20[[#This Row],[Target]]</f>
        <v>0</v>
      </c>
    </row>
    <row r="61" spans="5:5" x14ac:dyDescent="0.2">
      <c r="E61" s="17">
        <f>Table20[[#This Row],[Actual]]-Table20[[#This Row],[Target]]</f>
        <v>0</v>
      </c>
    </row>
    <row r="62" spans="5:5" x14ac:dyDescent="0.2">
      <c r="E62" s="17">
        <f>Table20[[#This Row],[Actual]]-Table20[[#This Row],[Target]]</f>
        <v>0</v>
      </c>
    </row>
    <row r="63" spans="5:5" x14ac:dyDescent="0.2">
      <c r="E63" s="17">
        <f>Table20[[#This Row],[Actual]]-Table20[[#This Row],[Target]]</f>
        <v>0</v>
      </c>
    </row>
    <row r="64" spans="5:5" x14ac:dyDescent="0.2">
      <c r="E64" s="17">
        <f>Table20[[#This Row],[Actual]]-Table20[[#This Row],[Target]]</f>
        <v>0</v>
      </c>
    </row>
    <row r="65" spans="5:5" x14ac:dyDescent="0.2">
      <c r="E65" s="17">
        <f>Table20[[#This Row],[Actual]]-Table20[[#This Row],[Target]]</f>
        <v>0</v>
      </c>
    </row>
    <row r="66" spans="5:5" x14ac:dyDescent="0.2">
      <c r="E66" s="17">
        <f>Table20[[#This Row],[Actual]]-Table20[[#This Row],[Target]]</f>
        <v>0</v>
      </c>
    </row>
    <row r="67" spans="5:5" x14ac:dyDescent="0.2">
      <c r="E67" s="17">
        <f>Table20[[#This Row],[Actual]]-Table20[[#This Row],[Target]]</f>
        <v>0</v>
      </c>
    </row>
    <row r="68" spans="5:5" x14ac:dyDescent="0.2">
      <c r="E68" s="17">
        <f>Table20[[#This Row],[Actual]]-Table20[[#This Row],[Target]]</f>
        <v>0</v>
      </c>
    </row>
    <row r="69" spans="5:5" x14ac:dyDescent="0.2">
      <c r="E69" s="17">
        <f>Table20[[#This Row],[Actual]]-Table20[[#This Row],[Target]]</f>
        <v>0</v>
      </c>
    </row>
    <row r="70" spans="5:5" x14ac:dyDescent="0.2">
      <c r="E70" s="17">
        <f>Table20[[#This Row],[Actual]]-Table20[[#This Row],[Target]]</f>
        <v>0</v>
      </c>
    </row>
    <row r="71" spans="5:5" x14ac:dyDescent="0.2">
      <c r="E71" s="17">
        <f>Table20[[#This Row],[Actual]]-Table20[[#This Row],[Target]]</f>
        <v>0</v>
      </c>
    </row>
    <row r="72" spans="5:5" x14ac:dyDescent="0.2">
      <c r="E72" s="17">
        <f>Table20[[#This Row],[Actual]]-Table20[[#This Row],[Target]]</f>
        <v>0</v>
      </c>
    </row>
    <row r="73" spans="5:5" x14ac:dyDescent="0.2">
      <c r="E73" s="17">
        <f>Table20[[#This Row],[Actual]]-Table20[[#This Row],[Target]]</f>
        <v>0</v>
      </c>
    </row>
    <row r="74" spans="5:5" x14ac:dyDescent="0.2">
      <c r="E74" s="17">
        <f>Table20[[#This Row],[Actual]]-Table20[[#This Row],[Target]]</f>
        <v>0</v>
      </c>
    </row>
    <row r="75" spans="5:5" x14ac:dyDescent="0.2">
      <c r="E75" s="17">
        <f>Table20[[#This Row],[Actual]]-Table20[[#This Row],[Target]]</f>
        <v>0</v>
      </c>
    </row>
    <row r="76" spans="5:5" x14ac:dyDescent="0.2">
      <c r="E76" s="17">
        <f>Table20[[#This Row],[Actual]]-Table20[[#This Row],[Target]]</f>
        <v>0</v>
      </c>
    </row>
    <row r="77" spans="5:5" x14ac:dyDescent="0.2">
      <c r="E77" s="17">
        <f>Table20[[#This Row],[Actual]]-Table20[[#This Row],[Target]]</f>
        <v>0</v>
      </c>
    </row>
    <row r="78" spans="5:5" x14ac:dyDescent="0.2">
      <c r="E78" s="17">
        <f>Table20[[#This Row],[Actual]]-Table20[[#This Row],[Target]]</f>
        <v>0</v>
      </c>
    </row>
    <row r="79" spans="5:5" x14ac:dyDescent="0.2">
      <c r="E79" s="17">
        <f>Table20[[#This Row],[Actual]]-Table20[[#This Row],[Target]]</f>
        <v>0</v>
      </c>
    </row>
    <row r="80" spans="5:5" x14ac:dyDescent="0.2">
      <c r="E80" s="17">
        <f>Table20[[#This Row],[Actual]]-Table20[[#This Row],[Target]]</f>
        <v>0</v>
      </c>
    </row>
    <row r="81" spans="5:5" x14ac:dyDescent="0.2">
      <c r="E81" s="17">
        <f>Table20[[#This Row],[Actual]]-Table20[[#This Row],[Target]]</f>
        <v>0</v>
      </c>
    </row>
    <row r="82" spans="5:5" x14ac:dyDescent="0.2">
      <c r="E82" s="17">
        <f>Table20[[#This Row],[Actual]]-Table20[[#This Row],[Target]]</f>
        <v>0</v>
      </c>
    </row>
    <row r="83" spans="5:5" x14ac:dyDescent="0.2">
      <c r="E83" s="17">
        <f>Table20[[#This Row],[Actual]]-Table20[[#This Row],[Target]]</f>
        <v>0</v>
      </c>
    </row>
    <row r="84" spans="5:5" x14ac:dyDescent="0.2">
      <c r="E84" s="17">
        <f>Table20[[#This Row],[Actual]]-Table20[[#This Row],[Target]]</f>
        <v>0</v>
      </c>
    </row>
    <row r="85" spans="5:5" x14ac:dyDescent="0.2">
      <c r="E85" s="17">
        <f>Table20[[#This Row],[Actual]]-Table20[[#This Row],[Target]]</f>
        <v>0</v>
      </c>
    </row>
    <row r="86" spans="5:5" x14ac:dyDescent="0.2">
      <c r="E86" s="17">
        <f>Table20[[#This Row],[Actual]]-Table20[[#This Row],[Target]]</f>
        <v>0</v>
      </c>
    </row>
    <row r="87" spans="5:5" x14ac:dyDescent="0.2">
      <c r="E87" s="17">
        <f>Table20[[#This Row],[Actual]]-Table20[[#This Row],[Target]]</f>
        <v>0</v>
      </c>
    </row>
    <row r="88" spans="5:5" x14ac:dyDescent="0.2">
      <c r="E88" s="17">
        <f>Table20[[#This Row],[Actual]]-Table20[[#This Row],[Target]]</f>
        <v>0</v>
      </c>
    </row>
    <row r="89" spans="5:5" x14ac:dyDescent="0.2">
      <c r="E89" s="17">
        <f>Table20[[#This Row],[Actual]]-Table20[[#This Row],[Target]]</f>
        <v>0</v>
      </c>
    </row>
    <row r="90" spans="5:5" x14ac:dyDescent="0.2">
      <c r="E90" s="17">
        <f>Table20[[#This Row],[Actual]]-Table20[[#This Row],[Target]]</f>
        <v>0</v>
      </c>
    </row>
    <row r="91" spans="5:5" x14ac:dyDescent="0.2">
      <c r="E91" s="17">
        <f>Table20[[#This Row],[Actual]]-Table20[[#This Row],[Target]]</f>
        <v>0</v>
      </c>
    </row>
    <row r="92" spans="5:5" x14ac:dyDescent="0.2">
      <c r="E92" s="17">
        <f>Table20[[#This Row],[Actual]]-Table20[[#This Row],[Target]]</f>
        <v>0</v>
      </c>
    </row>
    <row r="93" spans="5:5" x14ac:dyDescent="0.2">
      <c r="E93" s="17">
        <f>Table20[[#This Row],[Actual]]-Table20[[#This Row],[Target]]</f>
        <v>0</v>
      </c>
    </row>
    <row r="94" spans="5:5" x14ac:dyDescent="0.2">
      <c r="E94" s="17">
        <f>Table20[[#This Row],[Actual]]-Table20[[#This Row],[Target]]</f>
        <v>0</v>
      </c>
    </row>
    <row r="95" spans="5:5" x14ac:dyDescent="0.2">
      <c r="E95" s="17">
        <f>Table20[[#This Row],[Actual]]-Table20[[#This Row],[Target]]</f>
        <v>0</v>
      </c>
    </row>
    <row r="96" spans="5:5" x14ac:dyDescent="0.2">
      <c r="E96" s="17">
        <f>Table20[[#This Row],[Actual]]-Table20[[#This Row],[Target]]</f>
        <v>0</v>
      </c>
    </row>
    <row r="97" spans="5:5" x14ac:dyDescent="0.2">
      <c r="E97" s="17">
        <f>Table20[[#This Row],[Actual]]-Table20[[#This Row],[Target]]</f>
        <v>0</v>
      </c>
    </row>
    <row r="98" spans="5:5" x14ac:dyDescent="0.2">
      <c r="E98" s="17">
        <f>Table20[[#This Row],[Actual]]-Table20[[#This Row],[Target]]</f>
        <v>0</v>
      </c>
    </row>
    <row r="99" spans="5:5" x14ac:dyDescent="0.2">
      <c r="E99" s="17">
        <f>Table20[[#This Row],[Actual]]-Table20[[#This Row],[Target]]</f>
        <v>0</v>
      </c>
    </row>
    <row r="100" spans="5:5" x14ac:dyDescent="0.2">
      <c r="E100" s="17">
        <f>Table20[[#This Row],[Actual]]-Table20[[#This Row],[Target]]</f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5412-D4BC-7844-8B9A-3DD41C83B13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Vehicles</vt:lpstr>
      <vt:lpstr>Clients</vt:lpstr>
      <vt:lpstr>Employees</vt:lpstr>
      <vt:lpstr>Departments</vt:lpstr>
      <vt:lpstr>Orders</vt:lpstr>
      <vt:lpstr>Deliveries</vt:lpstr>
      <vt:lpstr>FleetUsage</vt:lpstr>
      <vt:lpstr>Maintenance</vt:lpstr>
      <vt:lpstr>FuelTracking</vt:lpstr>
      <vt:lpstr>Drivers</vt:lpstr>
      <vt:lpstr>Attendance</vt:lpstr>
      <vt:lpstr>Salaries</vt:lpstr>
      <vt:lpstr>Revenue</vt:lpstr>
      <vt:lpstr>Expenses</vt:lpstr>
      <vt:lpstr>Payments</vt:lpstr>
      <vt:lpstr>ProfitPerTrip</vt:lpstr>
      <vt:lpstr>inventory</vt:lpstr>
      <vt:lpstr>Suppliers</vt:lpstr>
      <vt:lpstr>Contacts</vt:lpstr>
      <vt:lpstr>KPIs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u2022432</dc:creator>
  <cp:lastModifiedBy>u2022432</cp:lastModifiedBy>
  <dcterms:created xsi:type="dcterms:W3CDTF">2026-03-01T00:15:49Z</dcterms:created>
  <dcterms:modified xsi:type="dcterms:W3CDTF">2026-03-08T18:49:53Z</dcterms:modified>
</cp:coreProperties>
</file>